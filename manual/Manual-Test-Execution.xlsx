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un Info" sheetId="2" state="visible" r:id="rId2"/>
    <sheet name="Test Cases" sheetId="3" state="visible" r:id="rId3"/>
    <sheet name="Summary" sheetId="4" state="visible" r:id="rId4"/>
    <sheet name="Defect Log" sheetId="5" state="visible" r:id="rId5"/>
    <sheet name="Regression Checklist" sheetId="6" state="visible" r:id="rId6"/>
  </sheets>
  <definedNames>
    <definedName name="_xlnm._FilterDatabase" localSheetId="2" hidden="1">'Test Cases'!$A$3:$L$146</definedName>
    <definedName name="_xlnm._FilterDatabase" localSheetId="4" hidden="1">'Defect Log'!$A$3:$K$103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9"/>
    </font>
    <font>
      <name val="Arial"/>
      <b val="1"/>
      <color rgb="001F3864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4" fillId="3" borderId="1" pivotButton="0" quotePrefix="0" xfId="0"/>
    <xf numFmtId="0" fontId="2" fillId="0" borderId="0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/>
    </xf>
    <xf numFmtId="164" fontId="4" fillId="0" borderId="1" applyAlignment="1" pivotButton="0" quotePrefix="0" xfId="0">
      <alignment horizontal="center" vertical="top"/>
    </xf>
    <xf numFmtId="0" fontId="5" fillId="2" borderId="1" applyAlignment="1" pivotButton="0" quotePrefix="0" xfId="0">
      <alignment horizontal="center" vertical="top"/>
    </xf>
    <xf numFmtId="164" fontId="5" fillId="2" borderId="1" applyAlignment="1" pivotButton="0" quotePrefix="0" xfId="0">
      <alignment horizontal="center" vertical="top"/>
    </xf>
    <xf numFmtId="0" fontId="4" fillId="4" borderId="1" pivotButton="0" quotePrefix="0" xfId="0"/>
    <xf numFmtId="0" fontId="0" fillId="0" borderId="1" pivotButton="0" quotePrefix="0" xfId="0"/>
    <xf numFmtId="0" fontId="7" fillId="3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/>
    </xf>
    <xf numFmtId="0" fontId="7" fillId="2" borderId="1" applyAlignment="1" pivotButton="0" quotePrefix="0" xfId="0">
      <alignment horizontal="center" vertical="top"/>
    </xf>
    <xf numFmtId="0" fontId="5" fillId="0" borderId="0" pivotButton="0" quotePrefix="0" xfId="0"/>
    <xf numFmtId="0" fontId="5" fillId="4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Test suite</author>
  </authors>
  <commentList>
    <comment ref="A49" authorId="0" shapeId="0">
      <text>
        <t>This example lives here deliberately, so the Test Cases sheet contains only real cases.</t>
      </text>
    </comment>
  </commentList>
</comments>
</file>

<file path=xl/comments/comment2.xml><?xml version="1.0" encoding="utf-8"?>
<comments xmlns="http://schemas.openxmlformats.org/spreadsheetml/2006/main">
  <authors>
    <author>Test suite</author>
  </authors>
  <commentList>
    <comment ref="B28" authorId="0" shapeId="0">
      <text>
        <t>Calculated from the Result column on Test Cases. It reflects only what has been recorded — cases left blank are not counted as passing.</t>
      </text>
    </comment>
  </commentList>
</comments>
</file>

<file path=xl/comments/comment3.xml><?xml version="1.0" encoding="utf-8"?>
<comments xmlns="http://schemas.openxmlformats.org/spreadsheetml/2006/main">
  <authors>
    <author>Test suite</author>
  </authors>
  <commentList>
    <comment ref="A3" authorId="0" shapeId="0">
      <text>
        <t>A defect in authentication, authorization or financial calculation is never Low.
Evidence for these is clinical data — keep it in the project's gitignored evidence/ folder, not in a public tracker.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30" customWidth="1" min="4" max="4"/>
    <col width="30" customWidth="1" min="5" max="5"/>
    <col width="20" customWidth="1" min="6" max="6"/>
  </cols>
  <sheetData>
    <row r="1">
      <c r="A1" s="1" t="inlineStr">
        <is>
          <t>Manual Test Execution Workbook</t>
        </is>
      </c>
    </row>
    <row r="2">
      <c r="A2" s="2" t="inlineStr">
        <is>
          <t>ClinicalEHRApplication — https://2set.com · generated from manual/TEST-CASES.md</t>
        </is>
      </c>
    </row>
    <row r="4">
      <c r="B4" s="3" t="inlineStr">
        <is>
          <t>How to use this workbook</t>
        </is>
      </c>
    </row>
    <row r="5">
      <c r="B5" s="4" t="inlineStr">
        <is>
          <t>1. Fill in the yellow cells on the 'Run Info' sheet before you start.</t>
        </is>
      </c>
    </row>
    <row r="6">
      <c r="B6" s="4" t="inlineStr">
        <is>
          <t>2. Work through the 'Test Cases' sheet. Set Result for each case you run.</t>
        </is>
      </c>
    </row>
    <row r="7">
      <c r="B7" s="4" t="inlineStr">
        <is>
          <t>3. For every Fail, add a row to 'Defect Log' and put its ID in the Defect ID column.</t>
        </is>
      </c>
    </row>
    <row r="8">
      <c r="B8" s="4" t="inlineStr">
        <is>
          <t>4. 'Summary' updates itself from your results — do not type into it.</t>
        </is>
      </c>
    </row>
    <row r="9">
      <c r="B9" s="4" t="inlineStr">
        <is>
          <t>5. After a deploy, also complete the 'Regression Checklist' sheet.</t>
        </is>
      </c>
    </row>
    <row r="11">
      <c r="B11" s="3" t="inlineStr">
        <is>
          <t>Which cells you edit</t>
        </is>
      </c>
    </row>
    <row r="12">
      <c r="B12" s="4" t="inlineStr">
        <is>
          <t>YELLOW cells are yours to fill in: Run Info fields, and the Result, Notes, Defect ID,</t>
        </is>
      </c>
    </row>
    <row r="13">
      <c r="B13" s="4" t="inlineStr">
        <is>
          <t>Tested By and Date columns on Test Cases, Defect Log and Regression Checklist.</t>
        </is>
      </c>
    </row>
    <row r="14">
      <c r="B14" s="4" t="inlineStr">
        <is>
          <t>Everything else — IDs, steps, expected results, all of Summary — is generated or</t>
        </is>
      </c>
    </row>
    <row r="15">
      <c r="B15" s="4" t="inlineStr">
        <is>
          <t>calculated. Overwriting it will not break the workbook, but your edit will be lost the</t>
        </is>
      </c>
    </row>
    <row r="16">
      <c r="B16" s="4" t="inlineStr">
        <is>
          <t>next time the workbook is regenerated from TEST-CASES.md.</t>
        </is>
      </c>
    </row>
    <row r="18">
      <c r="B18" s="3" t="inlineStr">
        <is>
          <t>Result values</t>
        </is>
      </c>
    </row>
    <row r="19">
      <c r="B19" s="4" t="inlineStr">
        <is>
          <t>Pass     — the actual result matched the expected result.</t>
        </is>
      </c>
    </row>
    <row r="20">
      <c r="B20" s="4" t="inlineStr">
        <is>
          <t>Fail     — it did not. Raise a defect.</t>
        </is>
      </c>
    </row>
    <row r="21">
      <c r="B21" s="4" t="inlineStr">
        <is>
          <t>Blocked  — could not be run (a dependency is broken, or access was unavailable).</t>
        </is>
      </c>
    </row>
    <row r="22">
      <c r="B22" s="4" t="inlineStr">
        <is>
          <t>N/A      — does not apply to this build or environment.</t>
        </is>
      </c>
    </row>
    <row r="23">
      <c r="B23" s="4" t="inlineStr">
        <is>
          <t>(blank)  — not run yet. Counted as 'Not run' in the Summary.</t>
        </is>
      </c>
    </row>
    <row r="25">
      <c r="B25" s="3" t="inlineStr">
        <is>
          <t>Tags — read these before touching production</t>
        </is>
      </c>
    </row>
    <row r="26">
      <c r="B26" s="4" t="inlineStr">
        <is>
          <t>READ-ONLY  Safe to run against https://2set.com. Looks only; changes nothing.</t>
        </is>
      </c>
    </row>
    <row r="27">
      <c r="B27" s="4" t="inlineStr">
        <is>
          <t>WRITE      Creates, edits or deletes. RUN ON A LOCAL OR STAGING INSTANCE ONLY.</t>
        </is>
      </c>
    </row>
    <row r="28">
      <c r="B28" s="4" t="inlineStr">
        <is>
          <t xml:space="preserve">           2set.com holds real patient records; a test charge there is a real charge</t>
        </is>
      </c>
    </row>
    <row r="29">
      <c r="B29" s="4" t="inlineStr">
        <is>
          <t xml:space="preserve">           on a real person's account.</t>
        </is>
      </c>
    </row>
    <row r="30">
      <c r="B30" s="4" t="inlineStr">
        <is>
          <t>PAPER      Needs a physical printer and preprinted CMS-1500 stock.</t>
        </is>
      </c>
    </row>
    <row r="32">
      <c r="B32" s="3" t="inlineStr">
        <is>
          <t>Severity, when raising a defect</t>
        </is>
      </c>
    </row>
    <row r="33">
      <c r="B33" s="4" t="inlineStr">
        <is>
          <t>Critical  Patient safety, data loss, or a breach. Wrong patient's record shown; a</t>
        </is>
      </c>
    </row>
    <row r="34">
      <c r="B34" s="4" t="inlineStr">
        <is>
          <t xml:space="preserve">          permission not enforced server-side; a claim or prescription reported as</t>
        </is>
      </c>
    </row>
    <row r="35">
      <c r="B35" s="4" t="inlineStr">
        <is>
          <t xml:space="preserve">          sent when it was not.</t>
        </is>
      </c>
    </row>
    <row r="36">
      <c r="B36" s="4" t="inlineStr">
        <is>
          <t>High      Money or a core workflow is wrong. Miscalculated total; double-posted</t>
        </is>
      </c>
    </row>
    <row r="37">
      <c r="B37" s="4" t="inlineStr">
        <is>
          <t xml:space="preserve">          payment; claim cannot be printed; nobody can sign in.</t>
        </is>
      </c>
    </row>
    <row r="38">
      <c r="B38" s="4" t="inlineStr">
        <is>
          <t>Medium    Wrong behaviour with a workaround.</t>
        </is>
      </c>
    </row>
    <row r="39">
      <c r="B39" s="4" t="inlineStr">
        <is>
          <t>Low       Cosmetic. A defect in authentication, authorization or financial</t>
        </is>
      </c>
    </row>
    <row r="40">
      <c r="B40" s="4" t="inlineStr">
        <is>
          <t xml:space="preserve">          calculation is NEVER Low.</t>
        </is>
      </c>
    </row>
    <row r="42">
      <c r="B42" s="3" t="inlineStr">
        <is>
          <t>Evidence is clinical data</t>
        </is>
      </c>
    </row>
    <row r="43">
      <c r="B43" s="4" t="inlineStr">
        <is>
          <t>A screenshot of the billing ledger is a patient record. Keep evidence in the</t>
        </is>
      </c>
    </row>
    <row r="44">
      <c r="B44" s="4" t="inlineStr">
        <is>
          <t>project's evidence/ folder, which is gitignored, and never attach it to a public</t>
        </is>
      </c>
    </row>
    <row r="45">
      <c r="B45" s="4" t="inlineStr">
        <is>
          <t>issue tracker. Redact names, dates of birth, member IDs and diagnoses before</t>
        </is>
      </c>
    </row>
    <row r="46">
      <c r="B46" s="4" t="inlineStr">
        <is>
          <t>sharing anything outside the practice.</t>
        </is>
      </c>
    </row>
    <row r="48">
      <c r="B48" s="3" t="inlineStr">
        <is>
          <t>Example of a completed row</t>
        </is>
      </c>
    </row>
    <row r="49">
      <c r="A49" s="5" t="inlineStr">
        <is>
          <t>ID</t>
        </is>
      </c>
      <c r="B49" s="5" t="inlineStr">
        <is>
          <t>Result</t>
        </is>
      </c>
      <c r="C49" s="5" t="inlineStr">
        <is>
          <t>Notes</t>
        </is>
      </c>
      <c r="D49" s="5" t="inlineStr">
        <is>
          <t>Defect ID</t>
        </is>
      </c>
      <c r="E49" s="5" t="inlineStr">
        <is>
          <t>Tested By</t>
        </is>
      </c>
      <c r="F49" s="5" t="inlineStr">
        <is>
          <t>Date</t>
        </is>
      </c>
    </row>
    <row r="50" ht="46" customHeight="1">
      <c r="A50" s="6" t="inlineStr">
        <is>
          <t>CLM-006</t>
        </is>
      </c>
      <c r="B50" s="6" t="inlineStr">
        <is>
          <t>Fail</t>
        </is>
      </c>
      <c r="C50" s="6" t="inlineStr">
        <is>
          <t>Summary total showed $213.00 but the two lines are $165.00 + $48.00 = $213.00 — matched. Re-tested after cache clear: passes.</t>
        </is>
      </c>
      <c r="D50" s="6" t="inlineStr">
        <is>
          <t>BUG-0007</t>
        </is>
      </c>
      <c r="E50" s="6" t="inlineStr">
        <is>
          <t>J. Azim</t>
        </is>
      </c>
      <c r="F50" s="6" t="inlineStr">
        <is>
          <t>2026-09-26</t>
        </is>
      </c>
    </row>
  </sheetData>
  <mergeCells count="34">
    <mergeCell ref="B7:F7"/>
    <mergeCell ref="B16:F16"/>
    <mergeCell ref="B46:F46"/>
    <mergeCell ref="B22:F22"/>
    <mergeCell ref="B27:F27"/>
    <mergeCell ref="B21:F21"/>
    <mergeCell ref="A2:F2"/>
    <mergeCell ref="B43:F43"/>
    <mergeCell ref="B12:F12"/>
    <mergeCell ref="B39:F39"/>
    <mergeCell ref="B23:F23"/>
    <mergeCell ref="B14:F14"/>
    <mergeCell ref="B8:F8"/>
    <mergeCell ref="B13:F13"/>
    <mergeCell ref="B44:F44"/>
    <mergeCell ref="B29:F29"/>
    <mergeCell ref="B38:F38"/>
    <mergeCell ref="B34:F34"/>
    <mergeCell ref="B28:F28"/>
    <mergeCell ref="B19:F19"/>
    <mergeCell ref="B37:F37"/>
    <mergeCell ref="B40:F40"/>
    <mergeCell ref="B9:F9"/>
    <mergeCell ref="B30:F30"/>
    <mergeCell ref="B6:F6"/>
    <mergeCell ref="B20:F20"/>
    <mergeCell ref="B15:F15"/>
    <mergeCell ref="B33:F33"/>
    <mergeCell ref="A1:F1"/>
    <mergeCell ref="B5:F5"/>
    <mergeCell ref="B45:F45"/>
    <mergeCell ref="B36:F36"/>
    <mergeCell ref="B26:F26"/>
    <mergeCell ref="B35:F35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6" customWidth="1" min="3" max="3"/>
    <col width="30" customWidth="1" min="4" max="4"/>
  </cols>
  <sheetData>
    <row r="1">
      <c r="A1" s="1" t="inlineStr">
        <is>
          <t>Test Run Information</t>
        </is>
      </c>
    </row>
    <row r="2">
      <c r="A2" s="2" t="inlineStr">
        <is>
          <t>Fill in the yellow cells before you begin.</t>
        </is>
      </c>
    </row>
    <row r="4">
      <c r="B4" s="7" t="inlineStr">
        <is>
          <t>Build / commit SHA</t>
        </is>
      </c>
      <c r="C4" s="8" t="inlineStr"/>
      <c r="D4" s="9" t="inlineStr">
        <is>
          <t>From `git log --oneline -1` on the server.</t>
        </is>
      </c>
    </row>
    <row r="5">
      <c r="B5" s="7" t="inlineStr">
        <is>
          <t>Environment URL</t>
        </is>
      </c>
      <c r="C5" s="8" t="inlineStr">
        <is>
          <t>https://2set.com</t>
        </is>
      </c>
      <c r="D5" s="9" t="inlineStr">
        <is>
          <t>Change if testing a local or staging instance.</t>
        </is>
      </c>
    </row>
    <row r="6">
      <c r="B6" s="7" t="inlineStr">
        <is>
          <t>Is this production?</t>
        </is>
      </c>
      <c r="C6" s="8" t="inlineStr">
        <is>
          <t>Yes</t>
        </is>
      </c>
      <c r="D6" s="9" t="inlineStr">
        <is>
          <t>If Yes, do NOT run any case tagged WRITE.</t>
        </is>
      </c>
    </row>
    <row r="7">
      <c r="B7" s="7" t="inlineStr">
        <is>
          <t>Test run start date</t>
        </is>
      </c>
      <c r="C7" s="8" t="inlineStr"/>
      <c r="D7" s="9" t="inlineStr">
        <is>
          <t>YYYY-MM-DD</t>
        </is>
      </c>
    </row>
    <row r="8">
      <c r="B8" s="7" t="inlineStr">
        <is>
          <t>Test run end date</t>
        </is>
      </c>
      <c r="C8" s="8" t="inlineStr"/>
      <c r="D8" s="9" t="inlineStr">
        <is>
          <t>YYYY-MM-DD</t>
        </is>
      </c>
    </row>
    <row r="9">
      <c r="B9" s="7" t="inlineStr">
        <is>
          <t>Tester name</t>
        </is>
      </c>
      <c r="C9" s="8" t="inlineStr"/>
      <c r="D9" s="9" t="inlineStr"/>
    </row>
    <row r="10">
      <c r="B10" s="7" t="inlineStr">
        <is>
          <t>Test plan version</t>
        </is>
      </c>
      <c r="C10" s="8" t="inlineStr">
        <is>
          <t>1.0</t>
        </is>
      </c>
      <c r="D10" s="9" t="inlineStr">
        <is>
          <t>See manual/TEST-PLAN.md</t>
        </is>
      </c>
    </row>
    <row r="11">
      <c r="B11" s="7" t="inlineStr">
        <is>
          <t>Browser / version</t>
        </is>
      </c>
      <c r="C11" s="8" t="inlineStr"/>
      <c r="D11" s="9" t="inlineStr">
        <is>
          <t>e.g. Chrome 131</t>
        </is>
      </c>
    </row>
    <row r="12">
      <c r="B12" s="7" t="inlineStr">
        <is>
          <t>Operating system</t>
        </is>
      </c>
      <c r="C12" s="8" t="inlineStr"/>
      <c r="D12" s="9" t="inlineStr"/>
    </row>
    <row r="13">
      <c r="B13" s="7" t="inlineStr">
        <is>
          <t>Backup taken &amp; size verified</t>
        </is>
      </c>
      <c r="C13" s="8" t="inlineStr"/>
      <c r="D13" s="9" t="inlineStr">
        <is>
          <t>A 0-byte dump is not a backup. Required before any WRITE testing.</t>
        </is>
      </c>
    </row>
    <row r="15">
      <c r="B15" s="3" t="inlineStr">
        <is>
          <t>Totals (calculated)</t>
        </is>
      </c>
    </row>
    <row r="16">
      <c r="B16" s="7" t="inlineStr">
        <is>
          <t>Total cases in this plan</t>
        </is>
      </c>
      <c r="C16" s="10">
        <f>COUNTA('Test Cases'!A4:A146)</f>
        <v/>
      </c>
    </row>
    <row r="17">
      <c r="B17" s="7" t="inlineStr">
        <is>
          <t>Executed</t>
        </is>
      </c>
      <c r="C17" s="10">
        <f>COUNTA('Test Cases'!H4:H146)</f>
        <v/>
      </c>
    </row>
    <row r="18">
      <c r="B18" s="7" t="inlineStr">
        <is>
          <t>Pass</t>
        </is>
      </c>
      <c r="C18" s="10">
        <f>COUNTIF('Test Cases'!H4:H146,"Pass")</f>
        <v/>
      </c>
    </row>
    <row r="19">
      <c r="B19" s="7" t="inlineStr">
        <is>
          <t>Fail</t>
        </is>
      </c>
      <c r="C19" s="10">
        <f>COUNTIF('Test Cases'!H4:H146,"Fail")</f>
        <v/>
      </c>
    </row>
    <row r="20">
      <c r="B20" s="7" t="inlineStr">
        <is>
          <t>Blocked</t>
        </is>
      </c>
      <c r="C20" s="10">
        <f>COUNTIF('Test Cases'!H4:H146,"Blocked")</f>
        <v/>
      </c>
    </row>
    <row r="21">
      <c r="B21" s="7" t="inlineStr">
        <is>
          <t>N/A</t>
        </is>
      </c>
      <c r="C21" s="10">
        <f>COUNTIF('Test Cases'!H4:H146,"N/A")</f>
        <v/>
      </c>
    </row>
    <row r="22">
      <c r="B22" s="7" t="inlineStr">
        <is>
          <t>Not run</t>
        </is>
      </c>
      <c r="C22" s="10">
        <f>C16-C17</f>
        <v/>
      </c>
    </row>
    <row r="23">
      <c r="B23" s="7" t="inlineStr">
        <is>
          <t>Pass rate (of Pass + Fail)</t>
        </is>
      </c>
      <c r="C23" s="11">
        <f>IFERROR(C18/(C18+C19),"")</f>
        <v/>
      </c>
    </row>
    <row r="24">
      <c r="B24" s="7" t="inlineStr">
        <is>
          <t>P1 failures — release blockers</t>
        </is>
      </c>
      <c r="C24" s="10">
        <f>COUNTIFS('Test Cases'!C4:C146,"P1",'Test Cases'!H4:H146,"Fail")</f>
        <v/>
      </c>
    </row>
    <row r="25">
      <c r="B25" s="7" t="inlineStr">
        <is>
          <t>Defects raised</t>
        </is>
      </c>
      <c r="C25" s="10">
        <f>COUNTA('Defect Log'!A4:A103)</f>
        <v/>
      </c>
    </row>
    <row r="27">
      <c r="B27" s="3" t="inlineStr">
        <is>
          <t>Release recommendation</t>
        </is>
      </c>
    </row>
    <row r="28">
      <c r="B28" s="12">
        <f>IF(C24&gt;0,"DO NOT RELEASE — "&amp;C24&amp;" P1 case(s) failed",IF(C19&gt;0,"REVIEW — "&amp;C19&amp;" non-P1 failure(s) present",IF(C22&gt;0,"INCOMPLETE — "&amp;C22&amp;" case(s) not run","PASS — no failures recorded")))</f>
        <v/>
      </c>
      <c r="C28" s="13" t="n"/>
      <c r="D28" s="14" t="n"/>
    </row>
  </sheetData>
  <mergeCells count="3">
    <mergeCell ref="A1:D1"/>
    <mergeCell ref="A2:D2"/>
    <mergeCell ref="B28:D28"/>
  </mergeCells>
  <dataValidations count="1">
    <dataValidation sqref="C6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L14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6" customWidth="1" min="3" max="3"/>
    <col width="12" customWidth="1" min="4" max="4"/>
    <col width="34" customWidth="1" min="5" max="5"/>
    <col width="40" customWidth="1" min="6" max="6"/>
    <col width="46" customWidth="1" min="7" max="7"/>
    <col width="11" customWidth="1" min="8" max="8"/>
    <col width="40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Test Cases</t>
        </is>
      </c>
    </row>
    <row r="2">
      <c r="A2" s="2" t="inlineStr">
        <is>
          <t>143 cases · set the Result column · yellow columns are yours to fill in</t>
        </is>
      </c>
    </row>
    <row r="3" ht="28" customHeight="1">
      <c r="A3" s="15" t="inlineStr">
        <is>
          <t>ID</t>
        </is>
      </c>
      <c r="B3" s="15" t="inlineStr">
        <is>
          <t>Module</t>
        </is>
      </c>
      <c r="C3" s="15" t="inlineStr">
        <is>
          <t>Pri</t>
        </is>
      </c>
      <c r="D3" s="15" t="inlineStr">
        <is>
          <t>Tag</t>
        </is>
      </c>
      <c r="E3" s="15" t="inlineStr">
        <is>
          <t>Test case</t>
        </is>
      </c>
      <c r="F3" s="15" t="inlineStr">
        <is>
          <t>Steps</t>
        </is>
      </c>
      <c r="G3" s="15" t="inlineStr">
        <is>
          <t>Expected result</t>
        </is>
      </c>
      <c r="H3" s="15" t="inlineStr">
        <is>
          <t>Result</t>
        </is>
      </c>
      <c r="I3" s="15" t="inlineStr">
        <is>
          <t>Notes / actual result</t>
        </is>
      </c>
      <c r="J3" s="15" t="inlineStr">
        <is>
          <t>Defect ID</t>
        </is>
      </c>
      <c r="K3" s="15" t="inlineStr">
        <is>
          <t>Tested By</t>
        </is>
      </c>
      <c r="L3" s="15" t="inlineStr">
        <is>
          <t>Date</t>
        </is>
      </c>
    </row>
    <row r="4" ht="30" customHeight="1">
      <c r="A4" s="16" t="inlineStr">
        <is>
          <t>AUTH-001</t>
        </is>
      </c>
      <c r="B4" s="6" t="inlineStr">
        <is>
          <t>Authentication</t>
        </is>
      </c>
      <c r="C4" s="17" t="inlineStr">
        <is>
          <t>P1</t>
        </is>
      </c>
      <c r="D4" s="17" t="inlineStr">
        <is>
          <t>READ-ONLY</t>
        </is>
      </c>
      <c r="E4" s="6" t="inlineStr">
        <is>
          <t>Sign in with valid credentials</t>
        </is>
      </c>
      <c r="F4" s="6" t="inlineStr">
        <is>
          <t>1. Open the site 2. Enter a valid email and password 3. Sign in</t>
        </is>
      </c>
      <c r="G4" s="6" t="inlineStr">
        <is>
          <t>Either the dashboard loads, or an MFA prompt appears if enforcement is on. No raw error text.</t>
        </is>
      </c>
      <c r="H4" s="18" t="n"/>
      <c r="I4" s="19" t="n"/>
      <c r="J4" s="19" t="n"/>
      <c r="K4" s="19" t="n"/>
      <c r="L4" s="19" t="n"/>
    </row>
    <row r="5" ht="30" customHeight="1">
      <c r="A5" s="20" t="inlineStr">
        <is>
          <t>AUTH-002</t>
        </is>
      </c>
      <c r="B5" s="21" t="inlineStr">
        <is>
          <t>Authentication</t>
        </is>
      </c>
      <c r="C5" s="22" t="inlineStr">
        <is>
          <t>P1</t>
        </is>
      </c>
      <c r="D5" s="22" t="inlineStr">
        <is>
          <t>READ-ONLY</t>
        </is>
      </c>
      <c r="E5" s="21" t="inlineStr">
        <is>
          <t>Wrong password refused</t>
        </is>
      </c>
      <c r="F5" s="21" t="inlineStr">
        <is>
          <t>Enter a valid email with a wrong password</t>
        </is>
      </c>
      <c r="G5" s="21" t="inlineStr">
        <is>
          <t>"Invalid email or password". Stays on sign-in. No session.</t>
        </is>
      </c>
      <c r="H5" s="18" t="n"/>
      <c r="I5" s="19" t="n"/>
      <c r="J5" s="19" t="n"/>
      <c r="K5" s="19" t="n"/>
      <c r="L5" s="19" t="n"/>
    </row>
    <row r="6" ht="30" customHeight="1">
      <c r="A6" s="16" t="inlineStr">
        <is>
          <t>AUTH-003</t>
        </is>
      </c>
      <c r="B6" s="6" t="inlineStr">
        <is>
          <t>Authentication</t>
        </is>
      </c>
      <c r="C6" s="17" t="inlineStr">
        <is>
          <t>P1</t>
        </is>
      </c>
      <c r="D6" s="17" t="inlineStr">
        <is>
          <t>READ-ONLY</t>
        </is>
      </c>
      <c r="E6" s="6" t="inlineStr">
        <is>
          <t>Unknown account refused identically</t>
        </is>
      </c>
      <c r="F6" s="6" t="inlineStr">
        <is>
          <t>Enter an email with no account</t>
        </is>
      </c>
      <c r="G6" s="6" t="inlineStr">
        <is>
          <t>Exactly the same message as AUTH-002. A different message lets an attacker enumerate accounts.</t>
        </is>
      </c>
      <c r="H6" s="18" t="n"/>
      <c r="I6" s="19" t="n"/>
      <c r="J6" s="19" t="n"/>
      <c r="K6" s="19" t="n"/>
      <c r="L6" s="19" t="n"/>
    </row>
    <row r="7" ht="30" customHeight="1">
      <c r="A7" s="20" t="inlineStr">
        <is>
          <t>AUTH-004</t>
        </is>
      </c>
      <c r="B7" s="21" t="inlineStr">
        <is>
          <t>Authentication</t>
        </is>
      </c>
      <c r="C7" s="22" t="inlineStr">
        <is>
          <t>P2</t>
        </is>
      </c>
      <c r="D7" s="22" t="inlineStr">
        <is>
          <t>READ-ONLY</t>
        </is>
      </c>
      <c r="E7" s="21" t="inlineStr">
        <is>
          <t>Empty fields</t>
        </is>
      </c>
      <c r="F7" s="21" t="inlineStr">
        <is>
          <t>Leave email and/or password blank, submit</t>
        </is>
      </c>
      <c r="G7" s="21" t="inlineStr">
        <is>
          <t>Browser validation blocks submission; no request is sent.</t>
        </is>
      </c>
      <c r="H7" s="18" t="n"/>
      <c r="I7" s="19" t="n"/>
      <c r="J7" s="19" t="n"/>
      <c r="K7" s="19" t="n"/>
      <c r="L7" s="19" t="n"/>
    </row>
    <row r="8" ht="30" customHeight="1">
      <c r="A8" s="16" t="inlineStr">
        <is>
          <t>AUTH-005</t>
        </is>
      </c>
      <c r="B8" s="6" t="inlineStr">
        <is>
          <t>Authentication</t>
        </is>
      </c>
      <c r="C8" s="17" t="inlineStr">
        <is>
          <t>P2</t>
        </is>
      </c>
      <c r="D8" s="17" t="inlineStr">
        <is>
          <t>READ-ONLY</t>
        </is>
      </c>
      <c r="E8" s="6" t="inlineStr">
        <is>
          <t>Password masked by default</t>
        </is>
      </c>
      <c r="F8" s="6" t="inlineStr">
        <is>
          <t>Look at the password field</t>
        </is>
      </c>
      <c r="G8" s="6" t="inlineStr">
        <is>
          <t>Characters are dots. A Show/Hide toggle is available.</t>
        </is>
      </c>
      <c r="H8" s="18" t="n"/>
      <c r="I8" s="19" t="n"/>
      <c r="J8" s="19" t="n"/>
      <c r="K8" s="19" t="n"/>
      <c r="L8" s="19" t="n"/>
    </row>
    <row r="9" ht="30" customHeight="1">
      <c r="A9" s="20" t="inlineStr">
        <is>
          <t>AUTH-006</t>
        </is>
      </c>
      <c r="B9" s="21" t="inlineStr">
        <is>
          <t>Authentication</t>
        </is>
      </c>
      <c r="C9" s="22" t="inlineStr">
        <is>
          <t>P2</t>
        </is>
      </c>
      <c r="D9" s="22" t="inlineStr">
        <is>
          <t>READ-ONLY</t>
        </is>
      </c>
      <c r="E9" s="21" t="inlineStr">
        <is>
          <t>Show/Hide toggle</t>
        </is>
      </c>
      <c r="F9" s="21" t="inlineStr">
        <is>
          <t>Type a password, click Show, then Hide</t>
        </is>
      </c>
      <c r="G9" s="21" t="inlineStr">
        <is>
          <t>Text is revealed, then masked again.</t>
        </is>
      </c>
      <c r="H9" s="18" t="n"/>
      <c r="I9" s="19" t="n"/>
      <c r="J9" s="19" t="n"/>
      <c r="K9" s="19" t="n"/>
      <c r="L9" s="19" t="n"/>
    </row>
    <row r="10" ht="30" customHeight="1">
      <c r="A10" s="16" t="inlineStr">
        <is>
          <t>AUTH-007</t>
        </is>
      </c>
      <c r="B10" s="6" t="inlineStr">
        <is>
          <t>Authentication</t>
        </is>
      </c>
      <c r="C10" s="17" t="inlineStr">
        <is>
          <t>P1</t>
        </is>
      </c>
      <c r="D10" s="17" t="inlineStr">
        <is>
          <t>READ-ONLY</t>
        </is>
      </c>
      <c r="E10" s="6" t="inlineStr">
        <is>
          <t>No backend detail leaks</t>
        </is>
      </c>
      <c r="F10" s="6" t="inlineStr">
        <is>
          <t>Trigger a failed sign-in</t>
        </is>
      </c>
      <c r="G10" s="6" t="inlineStr">
        <is>
          <t>No pgx, postgres, sql, bcrypt, panic, or stack trace anywhere on screen.</t>
        </is>
      </c>
      <c r="H10" s="18" t="n"/>
      <c r="I10" s="19" t="n"/>
      <c r="J10" s="19" t="n"/>
      <c r="K10" s="19" t="n"/>
      <c r="L10" s="19" t="n"/>
    </row>
    <row r="11" ht="30" customHeight="1">
      <c r="A11" s="20" t="inlineStr">
        <is>
          <t>AUTH-008</t>
        </is>
      </c>
      <c r="B11" s="21" t="inlineStr">
        <is>
          <t>Authentication</t>
        </is>
      </c>
      <c r="C11" s="22" t="inlineStr">
        <is>
          <t>P1</t>
        </is>
      </c>
      <c r="D11" s="22" t="inlineStr">
        <is>
          <t>READ-ONLY</t>
        </is>
      </c>
      <c r="E11" s="21" t="inlineStr">
        <is>
          <t>Sign out ends the session</t>
        </is>
      </c>
      <c r="F11" s="21" t="inlineStr">
        <is>
          <t>Sign in, sign out, press Back</t>
        </is>
      </c>
      <c r="G11" s="21" t="inlineStr">
        <is>
          <t>Returns to sign-in. The application is not reachable by going back.</t>
        </is>
      </c>
      <c r="H11" s="18" t="n"/>
      <c r="I11" s="19" t="n"/>
      <c r="J11" s="19" t="n"/>
      <c r="K11" s="19" t="n"/>
      <c r="L11" s="19" t="n"/>
    </row>
    <row r="12" ht="30" customHeight="1">
      <c r="A12" s="16" t="inlineStr">
        <is>
          <t>AUTH-009</t>
        </is>
      </c>
      <c r="B12" s="6" t="inlineStr">
        <is>
          <t>Authentication</t>
        </is>
      </c>
      <c r="C12" s="17" t="inlineStr">
        <is>
          <t>P1</t>
        </is>
      </c>
      <c r="D12" s="17" t="inlineStr">
        <is>
          <t>READ-ONLY</t>
        </is>
      </c>
      <c r="E12" s="6" t="inlineStr">
        <is>
          <t>Session required for the API</t>
        </is>
      </c>
      <c r="F12" s="6" t="inlineStr">
        <is>
          <t>Sign out. In a new tab open /api/auth/me</t>
        </is>
      </c>
      <c r="G12" s="6" t="inlineStr">
        <is>
          <t>401, not patient data.</t>
        </is>
      </c>
      <c r="H12" s="18" t="n"/>
      <c r="I12" s="19" t="n"/>
      <c r="J12" s="19" t="n"/>
      <c r="K12" s="19" t="n"/>
      <c r="L12" s="19" t="n"/>
    </row>
    <row r="13" ht="30" customHeight="1">
      <c r="A13" s="20" t="inlineStr">
        <is>
          <t>AUTH-010</t>
        </is>
      </c>
      <c r="B13" s="21" t="inlineStr">
        <is>
          <t>Authentication</t>
        </is>
      </c>
      <c r="C13" s="22" t="inlineStr">
        <is>
          <t>P2</t>
        </is>
      </c>
      <c r="D13" s="22" t="inlineStr">
        <is>
          <t>READ-ONLY</t>
        </is>
      </c>
      <c r="E13" s="21" t="inlineStr">
        <is>
          <t>Remember me</t>
        </is>
      </c>
      <c r="F13" s="21" t="inlineStr">
        <is>
          <t>Sign in with Remember me, close the tab, reopen</t>
        </is>
      </c>
      <c r="G13" s="21" t="inlineStr">
        <is>
          <t>Behaviour matches the checkbox state; a fresh session is required if unchecked.</t>
        </is>
      </c>
      <c r="H13" s="18" t="n"/>
      <c r="I13" s="19" t="n"/>
      <c r="J13" s="19" t="n"/>
      <c r="K13" s="19" t="n"/>
      <c r="L13" s="19" t="n"/>
    </row>
    <row r="14" ht="30" customHeight="1">
      <c r="A14" s="16" t="inlineStr">
        <is>
          <t>AUTH-011</t>
        </is>
      </c>
      <c r="B14" s="6" t="inlineStr">
        <is>
          <t>Authentication</t>
        </is>
      </c>
      <c r="C14" s="17" t="inlineStr">
        <is>
          <t>P3</t>
        </is>
      </c>
      <c r="D14" s="17" t="inlineStr">
        <is>
          <t>READ-ONLY</t>
        </is>
      </c>
      <c r="E14" s="6" t="inlineStr">
        <is>
          <t>Rapid repeated failures</t>
        </is>
      </c>
      <c r="F14" s="6" t="inlineStr">
        <is>
          <t>Enter a wrong password 10 times</t>
        </is>
      </c>
      <c r="G14" s="6" t="inlineStr">
        <is>
          <t>The application stays stable. Note whether any rate limiting exists.</t>
        </is>
      </c>
      <c r="H14" s="18" t="n"/>
      <c r="I14" s="19" t="n"/>
      <c r="J14" s="19" t="n"/>
      <c r="K14" s="19" t="n"/>
      <c r="L14" s="19" t="n"/>
    </row>
    <row r="15" ht="30" customHeight="1">
      <c r="A15" s="20" t="inlineStr">
        <is>
          <t>MFA-001</t>
        </is>
      </c>
      <c r="B15" s="21" t="inlineStr">
        <is>
          <t>Multi-factor authentication</t>
        </is>
      </c>
      <c r="C15" s="22" t="inlineStr">
        <is>
          <t>P1</t>
        </is>
      </c>
      <c r="D15" s="22" t="inlineStr">
        <is>
          <t>WRITE</t>
        </is>
      </c>
      <c r="E15" s="21" t="inlineStr">
        <is>
          <t>Enrolment</t>
        </is>
      </c>
      <c r="F15" s="21" t="inlineStr">
        <is>
          <t>Sign in on an account with MFA required and no enrolment</t>
        </is>
      </c>
      <c r="G15" s="21" t="inlineStr">
        <is>
          <t>A QR code and a manual key are offered.</t>
        </is>
      </c>
      <c r="H15" s="18" t="n"/>
      <c r="I15" s="19" t="n"/>
      <c r="J15" s="19" t="n"/>
      <c r="K15" s="19" t="n"/>
      <c r="L15" s="19" t="n"/>
    </row>
    <row r="16" ht="30" customHeight="1">
      <c r="A16" s="16" t="inlineStr">
        <is>
          <t>MFA-002</t>
        </is>
      </c>
      <c r="B16" s="6" t="inlineStr">
        <is>
          <t>Multi-factor authentication</t>
        </is>
      </c>
      <c r="C16" s="17" t="inlineStr">
        <is>
          <t>P1</t>
        </is>
      </c>
      <c r="D16" s="17" t="inlineStr">
        <is>
          <t>WRITE</t>
        </is>
      </c>
      <c r="E16" s="6" t="inlineStr">
        <is>
          <t>Enrolment confirmed</t>
        </is>
      </c>
      <c r="F16" s="6" t="inlineStr">
        <is>
          <t>Scan with an authenticator, enter the 6-digit code</t>
        </is>
      </c>
      <c r="G16" s="6" t="inlineStr">
        <is>
          <t>Enrolment completes. Backup codes are shown once.</t>
        </is>
      </c>
      <c r="H16" s="18" t="n"/>
      <c r="I16" s="19" t="n"/>
      <c r="J16" s="19" t="n"/>
      <c r="K16" s="19" t="n"/>
      <c r="L16" s="19" t="n"/>
    </row>
    <row r="17" ht="30" customHeight="1">
      <c r="A17" s="20" t="inlineStr">
        <is>
          <t>MFA-003</t>
        </is>
      </c>
      <c r="B17" s="21" t="inlineStr">
        <is>
          <t>Multi-factor authentication</t>
        </is>
      </c>
      <c r="C17" s="22" t="inlineStr">
        <is>
          <t>P1</t>
        </is>
      </c>
      <c r="D17" s="22" t="inlineStr">
        <is>
          <t>READ-ONLY</t>
        </is>
      </c>
      <c r="E17" s="21" t="inlineStr">
        <is>
          <t>Correct code accepted</t>
        </is>
      </c>
      <c r="F17" s="21" t="inlineStr">
        <is>
          <t>Sign in, enter the current code</t>
        </is>
      </c>
      <c r="G17" s="21" t="inlineStr">
        <is>
          <t>Session granted.</t>
        </is>
      </c>
      <c r="H17" s="18" t="n"/>
      <c r="I17" s="19" t="n"/>
      <c r="J17" s="19" t="n"/>
      <c r="K17" s="19" t="n"/>
      <c r="L17" s="19" t="n"/>
    </row>
    <row r="18" ht="30" customHeight="1">
      <c r="A18" s="16" t="inlineStr">
        <is>
          <t>MFA-004</t>
        </is>
      </c>
      <c r="B18" s="6" t="inlineStr">
        <is>
          <t>Multi-factor authentication</t>
        </is>
      </c>
      <c r="C18" s="17" t="inlineStr">
        <is>
          <t>P1</t>
        </is>
      </c>
      <c r="D18" s="17" t="inlineStr">
        <is>
          <t>READ-ONLY</t>
        </is>
      </c>
      <c r="E18" s="6" t="inlineStr">
        <is>
          <t>Wrong code refused</t>
        </is>
      </c>
      <c r="F18" s="6" t="inlineStr">
        <is>
          <t>Enter 000000</t>
        </is>
      </c>
      <c r="G18" s="6" t="inlineStr">
        <is>
          <t>Refused. No session. No detail about why.</t>
        </is>
      </c>
      <c r="H18" s="18" t="n"/>
      <c r="I18" s="19" t="n"/>
      <c r="J18" s="19" t="n"/>
      <c r="K18" s="19" t="n"/>
      <c r="L18" s="19" t="n"/>
    </row>
    <row r="19" ht="30" customHeight="1">
      <c r="A19" s="20" t="inlineStr">
        <is>
          <t>MFA-005</t>
        </is>
      </c>
      <c r="B19" s="21" t="inlineStr">
        <is>
          <t>Multi-factor authentication</t>
        </is>
      </c>
      <c r="C19" s="22" t="inlineStr">
        <is>
          <t>P1</t>
        </is>
      </c>
      <c r="D19" s="22" t="inlineStr">
        <is>
          <t>READ-ONLY</t>
        </is>
      </c>
      <c r="E19" s="21" t="inlineStr">
        <is>
          <t>Expired code refused</t>
        </is>
      </c>
      <c r="F19" s="21" t="inlineStr">
        <is>
          <t>Wait for a code to roll over, then enter the old one</t>
        </is>
      </c>
      <c r="G19" s="21" t="inlineStr">
        <is>
          <t>Refused.</t>
        </is>
      </c>
      <c r="H19" s="18" t="n"/>
      <c r="I19" s="19" t="n"/>
      <c r="J19" s="19" t="n"/>
      <c r="K19" s="19" t="n"/>
      <c r="L19" s="19" t="n"/>
    </row>
    <row r="20" ht="30" customHeight="1">
      <c r="A20" s="16" t="inlineStr">
        <is>
          <t>MFA-006</t>
        </is>
      </c>
      <c r="B20" s="6" t="inlineStr">
        <is>
          <t>Multi-factor authentication</t>
        </is>
      </c>
      <c r="C20" s="17" t="inlineStr">
        <is>
          <t>P1</t>
        </is>
      </c>
      <c r="D20" s="17" t="inlineStr">
        <is>
          <t>READ-ONLY</t>
        </is>
      </c>
      <c r="E20" s="6" t="inlineStr">
        <is>
          <t>Challenge token is not a session</t>
        </is>
      </c>
      <c r="F20" s="6" t="inlineStr">
        <is>
          <t>After a challenge appears, use the challenge token against /api/auth/me</t>
        </is>
      </c>
      <c r="G20" s="6" t="inlineStr">
        <is>
          <t>401. A challenge proves only that the password was right.</t>
        </is>
      </c>
      <c r="H20" s="18" t="n"/>
      <c r="I20" s="19" t="n"/>
      <c r="J20" s="19" t="n"/>
      <c r="K20" s="19" t="n"/>
      <c r="L20" s="19" t="n"/>
    </row>
    <row r="21" ht="30" customHeight="1">
      <c r="A21" s="20" t="inlineStr">
        <is>
          <t>MFA-007</t>
        </is>
      </c>
      <c r="B21" s="21" t="inlineStr">
        <is>
          <t>Multi-factor authentication</t>
        </is>
      </c>
      <c r="C21" s="22" t="inlineStr">
        <is>
          <t>P2</t>
        </is>
      </c>
      <c r="D21" s="22" t="inlineStr">
        <is>
          <t>WRITE</t>
        </is>
      </c>
      <c r="E21" s="21" t="inlineStr">
        <is>
          <t>Backup code works once</t>
        </is>
      </c>
      <c r="F21" s="21" t="inlineStr">
        <is>
          <t>Use a backup code, then use the same one again</t>
        </is>
      </c>
      <c r="G21" s="21" t="inlineStr">
        <is>
          <t>First succeeds; second is refused.</t>
        </is>
      </c>
      <c r="H21" s="18" t="n"/>
      <c r="I21" s="19" t="n"/>
      <c r="J21" s="19" t="n"/>
      <c r="K21" s="19" t="n"/>
      <c r="L21" s="19" t="n"/>
    </row>
    <row r="22" ht="30" customHeight="1">
      <c r="A22" s="16" t="inlineStr">
        <is>
          <t>MFA-008</t>
        </is>
      </c>
      <c r="B22" s="6" t="inlineStr">
        <is>
          <t>Multi-factor authentication</t>
        </is>
      </c>
      <c r="C22" s="17" t="inlineStr">
        <is>
          <t>P2</t>
        </is>
      </c>
      <c r="D22" s="17" t="inlineStr">
        <is>
          <t>WRITE</t>
        </is>
      </c>
      <c r="E22" s="6" t="inlineStr">
        <is>
          <t>Trusted device</t>
        </is>
      </c>
      <c r="F22" s="6" t="inlineStr">
        <is>
          <t>Verify, tick trust, sign out, sign in from the same browser</t>
        </is>
      </c>
      <c r="G22" s="6" t="inlineStr">
        <is>
          <t>No second factor for the trust window.</t>
        </is>
      </c>
      <c r="H22" s="18" t="n"/>
      <c r="I22" s="19" t="n"/>
      <c r="J22" s="19" t="n"/>
      <c r="K22" s="19" t="n"/>
      <c r="L22" s="19" t="n"/>
    </row>
    <row r="23" ht="30" customHeight="1">
      <c r="A23" s="20" t="inlineStr">
        <is>
          <t>MFA-009</t>
        </is>
      </c>
      <c r="B23" s="21" t="inlineStr">
        <is>
          <t>Multi-factor authentication</t>
        </is>
      </c>
      <c r="C23" s="22" t="inlineStr">
        <is>
          <t>P2</t>
        </is>
      </c>
      <c r="D23" s="22" t="inlineStr">
        <is>
          <t>READ-ONLY</t>
        </is>
      </c>
      <c r="E23" s="21" t="inlineStr">
        <is>
          <t>Trust is per browser</t>
        </is>
      </c>
      <c r="F23" s="21" t="inlineStr">
        <is>
          <t>Sign in from a different browser</t>
        </is>
      </c>
      <c r="G23" s="21" t="inlineStr">
        <is>
          <t>Second factor is required again.</t>
        </is>
      </c>
      <c r="H23" s="18" t="n"/>
      <c r="I23" s="19" t="n"/>
      <c r="J23" s="19" t="n"/>
      <c r="K23" s="19" t="n"/>
      <c r="L23" s="19" t="n"/>
    </row>
    <row r="24" ht="30" customHeight="1">
      <c r="A24" s="16" t="inlineStr">
        <is>
          <t>MFA-010</t>
        </is>
      </c>
      <c r="B24" s="6" t="inlineStr">
        <is>
          <t>Multi-factor authentication</t>
        </is>
      </c>
      <c r="C24" s="17" t="inlineStr">
        <is>
          <t>P1</t>
        </is>
      </c>
      <c r="D24" s="17" t="inlineStr">
        <is>
          <t>READ-ONLY</t>
        </is>
      </c>
      <c r="E24" s="6" t="inlineStr">
        <is>
          <t>MFA_ENFORCEMENT=none disables MFA for enrolled users</t>
        </is>
      </c>
      <c r="F24" s="6" t="inlineStr">
        <is>
          <t>Set none, restart, sign in as an already-enrolled account</t>
        </is>
      </c>
      <c r="G24" s="6" t="inlineStr">
        <is>
          <t>Signs in on password alone. Regression: before e257da0, enrolled users were still challenged.</t>
        </is>
      </c>
      <c r="H24" s="18" t="n"/>
      <c r="I24" s="19" t="n"/>
      <c r="J24" s="19" t="n"/>
      <c r="K24" s="19" t="n"/>
      <c r="L24" s="19" t="n"/>
    </row>
    <row r="25" ht="30" customHeight="1">
      <c r="A25" s="20" t="inlineStr">
        <is>
          <t>MFA-011</t>
        </is>
      </c>
      <c r="B25" s="21" t="inlineStr">
        <is>
          <t>Multi-factor authentication</t>
        </is>
      </c>
      <c r="C25" s="22" t="inlineStr">
        <is>
          <t>P1</t>
        </is>
      </c>
      <c r="D25" s="22" t="inlineStr">
        <is>
          <t>WRITE</t>
        </is>
      </c>
      <c r="E25" s="21" t="inlineStr">
        <is>
          <t>Enforcement is reversible</t>
        </is>
      </c>
      <c r="F25" s="21" t="inlineStr">
        <is>
          <t>Set back to all, restart, sign in</t>
        </is>
      </c>
      <c r="G25" s="21" t="inlineStr">
        <is>
          <t>Challenged again, without re-scanning a QR code — the enrolment survived.</t>
        </is>
      </c>
      <c r="H25" s="18" t="n"/>
      <c r="I25" s="19" t="n"/>
      <c r="J25" s="19" t="n"/>
      <c r="K25" s="19" t="n"/>
      <c r="L25" s="19" t="n"/>
    </row>
    <row r="26" ht="30" customHeight="1">
      <c r="A26" s="16" t="inlineStr">
        <is>
          <t>MFA-012</t>
        </is>
      </c>
      <c r="B26" s="6" t="inlineStr">
        <is>
          <t>Multi-factor authentication</t>
        </is>
      </c>
      <c r="C26" s="17" t="inlineStr">
        <is>
          <t>P2</t>
        </is>
      </c>
      <c r="D26" s="17" t="inlineStr">
        <is>
          <t>READ-ONLY</t>
        </is>
      </c>
      <c r="E26" s="6" t="inlineStr">
        <is>
          <t>Audit records a skipped factor</t>
        </is>
      </c>
      <c r="F26" s="6" t="inlineStr">
        <is>
          <t>With none, sign in as an enrolled user, then check the login audit</t>
        </is>
      </c>
      <c r="G26" s="6" t="inlineStr">
        <is>
          <t>The entry states that enforcement overrode the enrolment — not that the account had no MFA.</t>
        </is>
      </c>
      <c r="H26" s="18" t="n"/>
      <c r="I26" s="19" t="n"/>
      <c r="J26" s="19" t="n"/>
      <c r="K26" s="19" t="n"/>
      <c r="L26" s="19" t="n"/>
    </row>
    <row r="27" ht="30" customHeight="1">
      <c r="A27" s="20" t="inlineStr">
        <is>
          <t>PERM-001</t>
        </is>
      </c>
      <c r="B27" s="21" t="inlineStr">
        <is>
          <t>Roles and permissions</t>
        </is>
      </c>
      <c r="C27" s="22" t="inlineStr">
        <is>
          <t>P1</t>
        </is>
      </c>
      <c r="D27" s="22" t="inlineStr">
        <is>
          <t>READ-ONLY</t>
        </is>
      </c>
      <c r="E27" s="21" t="inlineStr">
        <is>
          <t>Tabs match the role</t>
        </is>
      </c>
      <c r="F27" s="21" t="inlineStr">
        <is>
          <t>Sign in as each role</t>
        </is>
      </c>
      <c r="G27" s="21" t="inlineStr">
        <is>
          <t>Only permitted tabs are shown.</t>
        </is>
      </c>
      <c r="H27" s="18" t="n"/>
      <c r="I27" s="19" t="n"/>
      <c r="J27" s="19" t="n"/>
      <c r="K27" s="19" t="n"/>
      <c r="L27" s="19" t="n"/>
    </row>
    <row r="28" ht="30" customHeight="1">
      <c r="A28" s="16" t="inlineStr">
        <is>
          <t>PERM-002</t>
        </is>
      </c>
      <c r="B28" s="6" t="inlineStr">
        <is>
          <t>Roles and permissions</t>
        </is>
      </c>
      <c r="C28" s="17" t="inlineStr">
        <is>
          <t>P1</t>
        </is>
      </c>
      <c r="D28" s="17" t="inlineStr">
        <is>
          <t>READ-ONLY</t>
        </is>
      </c>
      <c r="E28" s="6" t="inlineStr">
        <is>
          <t>Server enforces, not the UI</t>
        </is>
      </c>
      <c r="F28" s="6" t="inlineStr">
        <is>
          <t>As an account without a grant, call the gated route directly (e.g. GET /api/claims/{id}/hcfa)</t>
        </is>
      </c>
      <c r="G28" s="6" t="inlineStr">
        <is>
          <t>403. A 200 is a Critical defect.</t>
        </is>
      </c>
      <c r="H28" s="18" t="n"/>
      <c r="I28" s="19" t="n"/>
      <c r="J28" s="19" t="n"/>
      <c r="K28" s="19" t="n"/>
      <c r="L28" s="19" t="n"/>
    </row>
    <row r="29" ht="30" customHeight="1">
      <c r="A29" s="20" t="inlineStr">
        <is>
          <t>PERM-003</t>
        </is>
      </c>
      <c r="B29" s="21" t="inlineStr">
        <is>
          <t>Roles and permissions</t>
        </is>
      </c>
      <c r="C29" s="22" t="inlineStr">
        <is>
          <t>P1</t>
        </is>
      </c>
      <c r="D29" s="22" t="inlineStr">
        <is>
          <t>WRITE</t>
        </is>
      </c>
      <c r="E29" s="21" t="inlineStr">
        <is>
          <t>Revocation takes effect immediately</t>
        </is>
      </c>
      <c r="F29" s="21" t="inlineStr">
        <is>
          <t>Revoke a grant while the user is signed in; have them retry the action</t>
        </is>
      </c>
      <c r="G29" s="21" t="inlineStr">
        <is>
          <t>Refused on the very next request — not after their token expires.</t>
        </is>
      </c>
      <c r="H29" s="18" t="n"/>
      <c r="I29" s="19" t="n"/>
      <c r="J29" s="19" t="n"/>
      <c r="K29" s="19" t="n"/>
      <c r="L29" s="19" t="n"/>
    </row>
    <row r="30" ht="30" customHeight="1">
      <c r="A30" s="16" t="inlineStr">
        <is>
          <t>PERM-004</t>
        </is>
      </c>
      <c r="B30" s="6" t="inlineStr">
        <is>
          <t>Roles and permissions</t>
        </is>
      </c>
      <c r="C30" s="17" t="inlineStr">
        <is>
          <t>P1</t>
        </is>
      </c>
      <c r="D30" s="17" t="inlineStr">
        <is>
          <t>READ-ONLY</t>
        </is>
      </c>
      <c r="E30" s="6" t="inlineStr">
        <is>
          <t>Grant cannot be self-issued</t>
        </is>
      </c>
      <c r="F30" s="6" t="inlineStr">
        <is>
          <t>As a non-admin, attempt to write your own permission row</t>
        </is>
      </c>
      <c r="G30" s="6" t="inlineStr">
        <is>
          <t>Refused.</t>
        </is>
      </c>
      <c r="H30" s="18" t="n"/>
      <c r="I30" s="19" t="n"/>
      <c r="J30" s="19" t="n"/>
      <c r="K30" s="19" t="n"/>
      <c r="L30" s="19" t="n"/>
    </row>
    <row r="31" ht="30" customHeight="1">
      <c r="A31" s="20" t="inlineStr">
        <is>
          <t>PERM-005</t>
        </is>
      </c>
      <c r="B31" s="21" t="inlineStr">
        <is>
          <t>Roles and permissions</t>
        </is>
      </c>
      <c r="C31" s="22" t="inlineStr">
        <is>
          <t>P2</t>
        </is>
      </c>
      <c r="D31" s="22" t="inlineStr">
        <is>
          <t>READ-ONLY</t>
        </is>
      </c>
      <c r="E31" s="21" t="inlineStr">
        <is>
          <t>Tab and grant agree</t>
        </is>
      </c>
      <c r="F31" s="21" t="inlineStr">
        <is>
          <t>Compare the Medical Record tab's visibility with DOCTOR_MEDICAL_RECORD_VIEW</t>
        </is>
      </c>
      <c r="G31" s="21" t="inlineStr">
        <is>
          <t>Visible if and only if the grant is held.</t>
        </is>
      </c>
      <c r="H31" s="18" t="n"/>
      <c r="I31" s="19" t="n"/>
      <c r="J31" s="19" t="n"/>
      <c r="K31" s="19" t="n"/>
      <c r="L31" s="19" t="n"/>
    </row>
    <row r="32" ht="30" customHeight="1">
      <c r="A32" s="16" t="inlineStr">
        <is>
          <t>PERM-006</t>
        </is>
      </c>
      <c r="B32" s="6" t="inlineStr">
        <is>
          <t>Roles and permissions</t>
        </is>
      </c>
      <c r="C32" s="17" t="inlineStr">
        <is>
          <t>P2</t>
        </is>
      </c>
      <c r="D32" s="17" t="inlineStr">
        <is>
          <t>WRITE</t>
        </is>
      </c>
      <c r="E32" s="6" t="inlineStr">
        <is>
          <t>High-risk grants warn</t>
        </is>
      </c>
      <c r="F32" s="6" t="inlineStr">
        <is>
          <t>Grant BACKUP_RESTORE or CLAIM_ELECTRONIC_SUBMIT</t>
        </is>
      </c>
      <c r="G32" s="6" t="inlineStr">
        <is>
          <t>A confirmation is required before saving.</t>
        </is>
      </c>
      <c r="H32" s="18" t="n"/>
      <c r="I32" s="19" t="n"/>
      <c r="J32" s="19" t="n"/>
      <c r="K32" s="19" t="n"/>
      <c r="L32" s="19" t="n"/>
    </row>
    <row r="33" ht="30" customHeight="1">
      <c r="A33" s="20" t="inlineStr">
        <is>
          <t>PERM-007</t>
        </is>
      </c>
      <c r="B33" s="21" t="inlineStr">
        <is>
          <t>Roles and permissions</t>
        </is>
      </c>
      <c r="C33" s="22" t="inlineStr">
        <is>
          <t>P2</t>
        </is>
      </c>
      <c r="D33" s="22" t="inlineStr">
        <is>
          <t>WRITE</t>
        </is>
      </c>
      <c r="E33" s="21" t="inlineStr">
        <is>
          <t>Grant changes are audited</t>
        </is>
      </c>
      <c r="F33" s="21" t="inlineStr">
        <is>
          <t>Change a grant, check the audit</t>
        </is>
      </c>
      <c r="G33" s="21" t="inlineStr">
        <is>
          <t>Who, whom, what, when — all recorded.</t>
        </is>
      </c>
      <c r="H33" s="18" t="n"/>
      <c r="I33" s="19" t="n"/>
      <c r="J33" s="19" t="n"/>
      <c r="K33" s="19" t="n"/>
      <c r="L33" s="19" t="n"/>
    </row>
    <row r="34" ht="30" customHeight="1">
      <c r="A34" s="16" t="inlineStr">
        <is>
          <t>PERM-008</t>
        </is>
      </c>
      <c r="B34" s="6" t="inlineStr">
        <is>
          <t>Roles and permissions</t>
        </is>
      </c>
      <c r="C34" s="17" t="inlineStr">
        <is>
          <t>P1</t>
        </is>
      </c>
      <c r="D34" s="17" t="inlineStr">
        <is>
          <t>READ-ONLY</t>
        </is>
      </c>
      <c r="E34" s="6" t="inlineStr">
        <is>
          <t>Super Admin cannot be locked out</t>
        </is>
      </c>
      <c r="F34" s="6" t="inlineStr">
        <is>
          <t>Review backup permissions for SUPER_ADMIN</t>
        </is>
      </c>
      <c r="G34" s="6" t="inlineStr">
        <is>
          <t>Always holds every grant; no table edit can remove it.</t>
        </is>
      </c>
      <c r="H34" s="18" t="n"/>
      <c r="I34" s="19" t="n"/>
      <c r="J34" s="19" t="n"/>
      <c r="K34" s="19" t="n"/>
      <c r="L34" s="19" t="n"/>
    </row>
    <row r="35" ht="30" customHeight="1">
      <c r="A35" s="20" t="inlineStr">
        <is>
          <t>PAT-001</t>
        </is>
      </c>
      <c r="B35" s="21" t="inlineStr">
        <is>
          <t>Patients</t>
        </is>
      </c>
      <c r="C35" s="22" t="inlineStr">
        <is>
          <t>P2</t>
        </is>
      </c>
      <c r="D35" s="22" t="inlineStr">
        <is>
          <t>READ-ONLY</t>
        </is>
      </c>
      <c r="E35" s="21" t="inlineStr">
        <is>
          <t>List renders</t>
        </is>
      </c>
      <c r="F35" s="21" t="inlineStr">
        <is>
          <t>Open Patients</t>
        </is>
      </c>
      <c r="G35" s="21" t="inlineStr">
        <is>
          <t>Patients listed with name, DOB, identifiers.</t>
        </is>
      </c>
      <c r="H35" s="18" t="n"/>
      <c r="I35" s="19" t="n"/>
      <c r="J35" s="19" t="n"/>
      <c r="K35" s="19" t="n"/>
      <c r="L35" s="19" t="n"/>
    </row>
    <row r="36" ht="30" customHeight="1">
      <c r="A36" s="16" t="inlineStr">
        <is>
          <t>PAT-002</t>
        </is>
      </c>
      <c r="B36" s="6" t="inlineStr">
        <is>
          <t>Patients</t>
        </is>
      </c>
      <c r="C36" s="17" t="inlineStr">
        <is>
          <t>P2</t>
        </is>
      </c>
      <c r="D36" s="17" t="inlineStr">
        <is>
          <t>READ-ONLY</t>
        </is>
      </c>
      <c r="E36" s="6" t="inlineStr">
        <is>
          <t>Search</t>
        </is>
      </c>
      <c r="F36" s="6" t="inlineStr">
        <is>
          <t>Search by name, then by MRN</t>
        </is>
      </c>
      <c r="G36" s="6" t="inlineStr">
        <is>
          <t>Matching patients only.</t>
        </is>
      </c>
      <c r="H36" s="18" t="n"/>
      <c r="I36" s="19" t="n"/>
      <c r="J36" s="19" t="n"/>
      <c r="K36" s="19" t="n"/>
      <c r="L36" s="19" t="n"/>
    </row>
    <row r="37" ht="30" customHeight="1">
      <c r="A37" s="20" t="inlineStr">
        <is>
          <t>PAT-003</t>
        </is>
      </c>
      <c r="B37" s="21" t="inlineStr">
        <is>
          <t>Patients</t>
        </is>
      </c>
      <c r="C37" s="22" t="inlineStr">
        <is>
          <t>P2</t>
        </is>
      </c>
      <c r="D37" s="22" t="inlineStr">
        <is>
          <t>READ-ONLY</t>
        </is>
      </c>
      <c r="E37" s="21" t="inlineStr">
        <is>
          <t>Search with no match</t>
        </is>
      </c>
      <c r="F37" s="21" t="inlineStr">
        <is>
          <t>Search nonsense</t>
        </is>
      </c>
      <c r="G37" s="21" t="inlineStr">
        <is>
          <t>An empty state, not an error or a crash.</t>
        </is>
      </c>
      <c r="H37" s="18" t="n"/>
      <c r="I37" s="19" t="n"/>
      <c r="J37" s="19" t="n"/>
      <c r="K37" s="19" t="n"/>
      <c r="L37" s="19" t="n"/>
    </row>
    <row r="38" ht="30" customHeight="1">
      <c r="A38" s="16" t="inlineStr">
        <is>
          <t>PAT-004</t>
        </is>
      </c>
      <c r="B38" s="6" t="inlineStr">
        <is>
          <t>Patients</t>
        </is>
      </c>
      <c r="C38" s="17" t="inlineStr">
        <is>
          <t>P1</t>
        </is>
      </c>
      <c r="D38" s="17" t="inlineStr">
        <is>
          <t>WRITE</t>
        </is>
      </c>
      <c r="E38" s="6" t="inlineStr">
        <is>
          <t>Create</t>
        </is>
      </c>
      <c r="F38" s="6" t="inlineStr">
        <is>
          <t>Add a patient with all fields</t>
        </is>
      </c>
      <c r="G38" s="6" t="inlineStr">
        <is>
          <t>Saved. Appears in the list. No duplicate created.</t>
        </is>
      </c>
      <c r="H38" s="18" t="n"/>
      <c r="I38" s="19" t="n"/>
      <c r="J38" s="19" t="n"/>
      <c r="K38" s="19" t="n"/>
      <c r="L38" s="19" t="n"/>
    </row>
    <row r="39" ht="30" customHeight="1">
      <c r="A39" s="20" t="inlineStr">
        <is>
          <t>PAT-005</t>
        </is>
      </c>
      <c r="B39" s="21" t="inlineStr">
        <is>
          <t>Patients</t>
        </is>
      </c>
      <c r="C39" s="22" t="inlineStr">
        <is>
          <t>P1</t>
        </is>
      </c>
      <c r="D39" s="22" t="inlineStr">
        <is>
          <t>WRITE</t>
        </is>
      </c>
      <c r="E39" s="21" t="inlineStr">
        <is>
          <t>Duplicate prevention</t>
        </is>
      </c>
      <c r="F39" s="21" t="inlineStr">
        <is>
          <t>Attempt to add the same patient twice</t>
        </is>
      </c>
      <c r="G39" s="21" t="inlineStr">
        <is>
          <t>The second is prevented or flagged.</t>
        </is>
      </c>
      <c r="H39" s="18" t="n"/>
      <c r="I39" s="19" t="n"/>
      <c r="J39" s="19" t="n"/>
      <c r="K39" s="19" t="n"/>
      <c r="L39" s="19" t="n"/>
    </row>
    <row r="40" ht="30" customHeight="1">
      <c r="A40" s="16" t="inlineStr">
        <is>
          <t>PAT-006</t>
        </is>
      </c>
      <c r="B40" s="6" t="inlineStr">
        <is>
          <t>Patients</t>
        </is>
      </c>
      <c r="C40" s="17" t="inlineStr">
        <is>
          <t>P2</t>
        </is>
      </c>
      <c r="D40" s="17" t="inlineStr">
        <is>
          <t>WRITE</t>
        </is>
      </c>
      <c r="E40" s="6" t="inlineStr">
        <is>
          <t>Required fields</t>
        </is>
      </c>
      <c r="F40" s="6" t="inlineStr">
        <is>
          <t>Save with the name blank</t>
        </is>
      </c>
      <c r="G40" s="6" t="inlineStr">
        <is>
          <t>Refused with a clear message.</t>
        </is>
      </c>
      <c r="H40" s="18" t="n"/>
      <c r="I40" s="19" t="n"/>
      <c r="J40" s="19" t="n"/>
      <c r="K40" s="19" t="n"/>
      <c r="L40" s="19" t="n"/>
    </row>
    <row r="41" ht="30" customHeight="1">
      <c r="A41" s="20" t="inlineStr">
        <is>
          <t>PAT-007</t>
        </is>
      </c>
      <c r="B41" s="21" t="inlineStr">
        <is>
          <t>Patients</t>
        </is>
      </c>
      <c r="C41" s="22" t="inlineStr">
        <is>
          <t>P1</t>
        </is>
      </c>
      <c r="D41" s="22" t="inlineStr">
        <is>
          <t>READ-ONLY</t>
        </is>
      </c>
      <c r="E41" s="21" t="inlineStr">
        <is>
          <t>Insurance history is versioned</t>
        </is>
      </c>
      <c r="F41" s="21" t="inlineStr">
        <is>
          <t>Open a patient with more than one policy</t>
        </is>
      </c>
      <c r="G41" s="21" t="inlineStr">
        <is>
          <t>Old policies show as Terminated and are still listed, never deleted.</t>
        </is>
      </c>
      <c r="H41" s="18" t="n"/>
      <c r="I41" s="19" t="n"/>
      <c r="J41" s="19" t="n"/>
      <c r="K41" s="19" t="n"/>
      <c r="L41" s="19" t="n"/>
    </row>
    <row r="42" ht="30" customHeight="1">
      <c r="A42" s="16" t="inlineStr">
        <is>
          <t>PAT-008</t>
        </is>
      </c>
      <c r="B42" s="6" t="inlineStr">
        <is>
          <t>Patients</t>
        </is>
      </c>
      <c r="C42" s="17" t="inlineStr">
        <is>
          <t>P1</t>
        </is>
      </c>
      <c r="D42" s="17" t="inlineStr">
        <is>
          <t>WRITE</t>
        </is>
      </c>
      <c r="E42" s="6" t="inlineStr">
        <is>
          <t>Adding insurance preserves the old</t>
        </is>
      </c>
      <c r="F42" s="6" t="inlineStr">
        <is>
          <t>Add a new primary policy</t>
        </is>
      </c>
      <c r="G42" s="6" t="inlineStr">
        <is>
          <t>The previous one is retained with its dates.</t>
        </is>
      </c>
      <c r="H42" s="18" t="n"/>
      <c r="I42" s="19" t="n"/>
      <c r="J42" s="19" t="n"/>
      <c r="K42" s="19" t="n"/>
      <c r="L42" s="19" t="n"/>
    </row>
    <row r="43" ht="30" customHeight="1">
      <c r="A43" s="20" t="inlineStr">
        <is>
          <t>PAT-009</t>
        </is>
      </c>
      <c r="B43" s="21" t="inlineStr">
        <is>
          <t>Patients</t>
        </is>
      </c>
      <c r="C43" s="22" t="inlineStr">
        <is>
          <t>P2</t>
        </is>
      </c>
      <c r="D43" s="22" t="inlineStr">
        <is>
          <t>READ-ONLY</t>
        </is>
      </c>
      <c r="E43" s="21" t="inlineStr">
        <is>
          <t>Demographics completeness</t>
        </is>
      </c>
      <c r="F43" s="21" t="inlineStr">
        <is>
          <t>Review patients used for billing</t>
        </is>
      </c>
      <c r="G43" s="21" t="inlineStr">
        <is>
          <t>DOB, address, city, state, ZIP present — a claim is rejected without them.</t>
        </is>
      </c>
      <c r="H43" s="18" t="n"/>
      <c r="I43" s="19" t="n"/>
      <c r="J43" s="19" t="n"/>
      <c r="K43" s="19" t="n"/>
      <c r="L43" s="19" t="n"/>
    </row>
    <row r="44" ht="30" customHeight="1">
      <c r="A44" s="16" t="inlineStr">
        <is>
          <t>BILL-001</t>
        </is>
      </c>
      <c r="B44" s="6" t="inlineStr">
        <is>
          <t>Billing ledger and payment posting</t>
        </is>
      </c>
      <c r="C44" s="17" t="inlineStr">
        <is>
          <t>P1</t>
        </is>
      </c>
      <c r="D44" s="17" t="inlineStr">
        <is>
          <t>READ-ONLY</t>
        </is>
      </c>
      <c r="E44" s="6" t="inlineStr">
        <is>
          <t>Ledger renders</t>
        </is>
      </c>
      <c r="F44" s="6" t="inlineStr">
        <is>
          <t>Open Billing for a patient</t>
        </is>
      </c>
      <c r="G44" s="6" t="inlineStr">
        <is>
          <t>DOS, CPT, Charge, Adjusted, Balance all present.</t>
        </is>
      </c>
      <c r="H44" s="18" t="n"/>
      <c r="I44" s="19" t="n"/>
      <c r="J44" s="19" t="n"/>
      <c r="K44" s="19" t="n"/>
      <c r="L44" s="19" t="n"/>
    </row>
    <row r="45" ht="30" customHeight="1">
      <c r="A45" s="20" t="inlineStr">
        <is>
          <t>BILL-002</t>
        </is>
      </c>
      <c r="B45" s="21" t="inlineStr">
        <is>
          <t>Billing ledger and payment posting</t>
        </is>
      </c>
      <c r="C45" s="22" t="inlineStr">
        <is>
          <t>P1</t>
        </is>
      </c>
      <c r="D45" s="22" t="inlineStr">
        <is>
          <t>READ-ONLY</t>
        </is>
      </c>
      <c r="E45" s="21" t="inlineStr">
        <is>
          <t>Balance arithmetic</t>
        </is>
      </c>
      <c r="F45" s="21" t="inlineStr">
        <is>
          <t>Check a charge with payments and write-offs</t>
        </is>
      </c>
      <c r="G45" s="21" t="inlineStr">
        <is>
          <t>Balance = charge − paid − write-off − credits.</t>
        </is>
      </c>
      <c r="H45" s="18" t="n"/>
      <c r="I45" s="19" t="n"/>
      <c r="J45" s="19" t="n"/>
      <c r="K45" s="19" t="n"/>
      <c r="L45" s="19" t="n"/>
    </row>
    <row r="46" ht="30" customHeight="1">
      <c r="A46" s="16" t="inlineStr">
        <is>
          <t>BILL-003</t>
        </is>
      </c>
      <c r="B46" s="6" t="inlineStr">
        <is>
          <t>Billing ledger and payment posting</t>
        </is>
      </c>
      <c r="C46" s="17" t="inlineStr">
        <is>
          <t>P1</t>
        </is>
      </c>
      <c r="D46" s="17" t="inlineStr">
        <is>
          <t>WRITE</t>
        </is>
      </c>
      <c r="E46" s="6" t="inlineStr">
        <is>
          <t>Post a check payment</t>
        </is>
      </c>
      <c r="F46" s="6" t="inlineStr">
        <is>
          <t>Post a partial check payment</t>
        </is>
      </c>
      <c r="G46" s="6" t="inlineStr">
        <is>
          <t>Balance decreases by exactly that amount. A transaction is recorded.</t>
        </is>
      </c>
      <c r="H46" s="18" t="n"/>
      <c r="I46" s="19" t="n"/>
      <c r="J46" s="19" t="n"/>
      <c r="K46" s="19" t="n"/>
      <c r="L46" s="19" t="n"/>
    </row>
    <row r="47" ht="30" customHeight="1">
      <c r="A47" s="20" t="inlineStr">
        <is>
          <t>BILL-004</t>
        </is>
      </c>
      <c r="B47" s="21" t="inlineStr">
        <is>
          <t>Billing ledger and payment posting</t>
        </is>
      </c>
      <c r="C47" s="22" t="inlineStr">
        <is>
          <t>P1</t>
        </is>
      </c>
      <c r="D47" s="22" t="inlineStr">
        <is>
          <t>WRITE</t>
        </is>
      </c>
      <c r="E47" s="21" t="inlineStr">
        <is>
          <t>Post a card payment</t>
        </is>
      </c>
      <c r="F47" s="21" t="inlineStr">
        <is>
          <t>Post a card payment</t>
        </is>
      </c>
      <c r="G47" s="21" t="inlineStr">
        <is>
          <t>Posted. No full card number or CVV is stored or displayed anywhere.</t>
        </is>
      </c>
      <c r="H47" s="18" t="n"/>
      <c r="I47" s="19" t="n"/>
      <c r="J47" s="19" t="n"/>
      <c r="K47" s="19" t="n"/>
      <c r="L47" s="19" t="n"/>
    </row>
    <row r="48" ht="30" customHeight="1">
      <c r="A48" s="16" t="inlineStr">
        <is>
          <t>BILL-005</t>
        </is>
      </c>
      <c r="B48" s="6" t="inlineStr">
        <is>
          <t>Billing ledger and payment posting</t>
        </is>
      </c>
      <c r="C48" s="17" t="inlineStr">
        <is>
          <t>P1</t>
        </is>
      </c>
      <c r="D48" s="17" t="inlineStr">
        <is>
          <t>WRITE</t>
        </is>
      </c>
      <c r="E48" s="6" t="inlineStr">
        <is>
          <t>Overpayment</t>
        </is>
      </c>
      <c r="F48" s="6" t="inlineStr">
        <is>
          <t>Pay more than the balance</t>
        </is>
      </c>
      <c r="G48" s="6" t="inlineStr">
        <is>
          <t>Handled explicitly — credit or refusal, never a silent negative.</t>
        </is>
      </c>
      <c r="H48" s="18" t="n"/>
      <c r="I48" s="19" t="n"/>
      <c r="J48" s="19" t="n"/>
      <c r="K48" s="19" t="n"/>
      <c r="L48" s="19" t="n"/>
    </row>
    <row r="49" ht="30" customHeight="1">
      <c r="A49" s="20" t="inlineStr">
        <is>
          <t>BILL-006</t>
        </is>
      </c>
      <c r="B49" s="21" t="inlineStr">
        <is>
          <t>Billing ledger and payment posting</t>
        </is>
      </c>
      <c r="C49" s="22" t="inlineStr">
        <is>
          <t>P1</t>
        </is>
      </c>
      <c r="D49" s="22" t="inlineStr">
        <is>
          <t>WRITE</t>
        </is>
      </c>
      <c r="E49" s="21" t="inlineStr">
        <is>
          <t>Write-off</t>
        </is>
      </c>
      <c r="F49" s="21" t="inlineStr">
        <is>
          <t>Write off the remaining balance</t>
        </is>
      </c>
      <c r="G49" s="21" t="inlineStr">
        <is>
          <t>Balance is zero. Recorded as a write-off, not a payment.</t>
        </is>
      </c>
      <c r="H49" s="18" t="n"/>
      <c r="I49" s="19" t="n"/>
      <c r="J49" s="19" t="n"/>
      <c r="K49" s="19" t="n"/>
      <c r="L49" s="19" t="n"/>
    </row>
    <row r="50" ht="30" customHeight="1">
      <c r="A50" s="16" t="inlineStr">
        <is>
          <t>BILL-007</t>
        </is>
      </c>
      <c r="B50" s="6" t="inlineStr">
        <is>
          <t>Billing ledger and payment posting</t>
        </is>
      </c>
      <c r="C50" s="17" t="inlineStr">
        <is>
          <t>P1</t>
        </is>
      </c>
      <c r="D50" s="17" t="inlineStr">
        <is>
          <t>WRITE</t>
        </is>
      </c>
      <c r="E50" s="6" t="inlineStr">
        <is>
          <t>Insurance vs patient payment</t>
        </is>
      </c>
      <c r="F50" s="6" t="inlineStr">
        <is>
          <t>Post one of each</t>
        </is>
      </c>
      <c r="G50" s="6" t="inlineStr">
        <is>
          <t>Recorded distinctly and reported separately.</t>
        </is>
      </c>
      <c r="H50" s="18" t="n"/>
      <c r="I50" s="19" t="n"/>
      <c r="J50" s="19" t="n"/>
      <c r="K50" s="19" t="n"/>
      <c r="L50" s="19" t="n"/>
    </row>
    <row r="51" ht="30" customHeight="1">
      <c r="A51" s="20" t="inlineStr">
        <is>
          <t>BILL-008</t>
        </is>
      </c>
      <c r="B51" s="21" t="inlineStr">
        <is>
          <t>Billing ledger and payment posting</t>
        </is>
      </c>
      <c r="C51" s="22" t="inlineStr">
        <is>
          <t>P1</t>
        </is>
      </c>
      <c r="D51" s="22" t="inlineStr">
        <is>
          <t>WRITE</t>
        </is>
      </c>
      <c r="E51" s="21" t="inlineStr">
        <is>
          <t>Credit transfer</t>
        </is>
      </c>
      <c r="F51" s="21" t="inlineStr">
        <is>
          <t>Transfer a credit between dates of service</t>
        </is>
      </c>
      <c r="G51" s="21" t="inlineStr">
        <is>
          <t>Both sides change; the total is unchanged.</t>
        </is>
      </c>
      <c r="H51" s="18" t="n"/>
      <c r="I51" s="19" t="n"/>
      <c r="J51" s="19" t="n"/>
      <c r="K51" s="19" t="n"/>
      <c r="L51" s="19" t="n"/>
    </row>
    <row r="52" ht="30" customHeight="1">
      <c r="A52" s="16" t="inlineStr">
        <is>
          <t>BILL-009</t>
        </is>
      </c>
      <c r="B52" s="6" t="inlineStr">
        <is>
          <t>Billing ledger and payment posting</t>
        </is>
      </c>
      <c r="C52" s="17" t="inlineStr">
        <is>
          <t>P1</t>
        </is>
      </c>
      <c r="D52" s="17" t="inlineStr">
        <is>
          <t>WRITE</t>
        </is>
      </c>
      <c r="E52" s="6" t="inlineStr">
        <is>
          <t>Batch required for posting</t>
        </is>
      </c>
      <c r="F52" s="6" t="inlineStr">
        <is>
          <t>Attempt to post with no open batch</t>
        </is>
      </c>
      <c r="G52" s="6" t="inlineStr">
        <is>
          <t>Prevented with an explanation.</t>
        </is>
      </c>
      <c r="H52" s="18" t="n"/>
      <c r="I52" s="19" t="n"/>
      <c r="J52" s="19" t="n"/>
      <c r="K52" s="19" t="n"/>
      <c r="L52" s="19" t="n"/>
    </row>
    <row r="53" ht="30" customHeight="1">
      <c r="A53" s="20" t="inlineStr">
        <is>
          <t>BILL-010</t>
        </is>
      </c>
      <c r="B53" s="21" t="inlineStr">
        <is>
          <t>Billing ledger and payment posting</t>
        </is>
      </c>
      <c r="C53" s="22" t="inlineStr">
        <is>
          <t>P1</t>
        </is>
      </c>
      <c r="D53" s="22" t="inlineStr">
        <is>
          <t>WRITE</t>
        </is>
      </c>
      <c r="E53" s="21" t="inlineStr">
        <is>
          <t>ERA/835 posting</t>
        </is>
      </c>
      <c r="F53" s="21" t="inlineStr">
        <is>
          <t>Upload a remittance file</t>
        </is>
      </c>
      <c r="G53" s="21" t="inlineStr">
        <is>
          <t>Matched rows post; unmatched are listed, not guessed at.</t>
        </is>
      </c>
      <c r="H53" s="18" t="n"/>
      <c r="I53" s="19" t="n"/>
      <c r="J53" s="19" t="n"/>
      <c r="K53" s="19" t="n"/>
      <c r="L53" s="19" t="n"/>
    </row>
    <row r="54" ht="30" customHeight="1">
      <c r="A54" s="16" t="inlineStr">
        <is>
          <t>BILL-011</t>
        </is>
      </c>
      <c r="B54" s="6" t="inlineStr">
        <is>
          <t>Billing ledger and payment posting</t>
        </is>
      </c>
      <c r="C54" s="17" t="inlineStr">
        <is>
          <t>P1</t>
        </is>
      </c>
      <c r="D54" s="17" t="inlineStr">
        <is>
          <t>READ-ONLY</t>
        </is>
      </c>
      <c r="E54" s="6" t="inlineStr">
        <is>
          <t>History is immutable</t>
        </is>
      </c>
      <c r="F54" s="6" t="inlineStr">
        <is>
          <t>Review a posted transaction</t>
        </is>
      </c>
      <c r="G54" s="6" t="inlineStr">
        <is>
          <t>It cannot be edited or deleted — only offset by a new entry.</t>
        </is>
      </c>
      <c r="H54" s="18" t="n"/>
      <c r="I54" s="19" t="n"/>
      <c r="J54" s="19" t="n"/>
      <c r="K54" s="19" t="n"/>
      <c r="L54" s="19" t="n"/>
    </row>
    <row r="55" ht="30" customHeight="1">
      <c r="A55" s="20" t="inlineStr">
        <is>
          <t>BILL-012</t>
        </is>
      </c>
      <c r="B55" s="21" t="inlineStr">
        <is>
          <t>Billing ledger and payment posting</t>
        </is>
      </c>
      <c r="C55" s="22" t="inlineStr">
        <is>
          <t>P2</t>
        </is>
      </c>
      <c r="D55" s="22" t="inlineStr">
        <is>
          <t>WRITE</t>
        </is>
      </c>
      <c r="E55" s="21" t="inlineStr">
        <is>
          <t>Recode a CPT</t>
        </is>
      </c>
      <c r="F55" s="21" t="inlineStr">
        <is>
          <t>Recode a charge</t>
        </is>
      </c>
      <c r="G55" s="21" t="inlineStr">
        <is>
          <t>Code and amount both update. A memo or history records it.</t>
        </is>
      </c>
      <c r="H55" s="18" t="n"/>
      <c r="I55" s="19" t="n"/>
      <c r="J55" s="19" t="n"/>
      <c r="K55" s="19" t="n"/>
      <c r="L55" s="19" t="n"/>
    </row>
    <row r="56" ht="30" customHeight="1">
      <c r="A56" s="16" t="inlineStr">
        <is>
          <t>BILL-013</t>
        </is>
      </c>
      <c r="B56" s="6" t="inlineStr">
        <is>
          <t>Billing ledger and payment posting</t>
        </is>
      </c>
      <c r="C56" s="17" t="inlineStr">
        <is>
          <t>P2</t>
        </is>
      </c>
      <c r="D56" s="17" t="inlineStr">
        <is>
          <t>WRITE</t>
        </is>
      </c>
      <c r="E56" s="6" t="inlineStr">
        <is>
          <t>Zero-amount charge</t>
        </is>
      </c>
      <c r="F56" s="6" t="inlineStr">
        <is>
          <t>Post a charge of 0.00</t>
        </is>
      </c>
      <c r="G56" s="6" t="inlineStr">
        <is>
          <t>Handled without a divide-by-zero or NaN.</t>
        </is>
      </c>
      <c r="H56" s="18" t="n"/>
      <c r="I56" s="19" t="n"/>
      <c r="J56" s="19" t="n"/>
      <c r="K56" s="19" t="n"/>
      <c r="L56" s="19" t="n"/>
    </row>
    <row r="57" ht="30" customHeight="1">
      <c r="A57" s="20" t="inlineStr">
        <is>
          <t>BILL-014</t>
        </is>
      </c>
      <c r="B57" s="21" t="inlineStr">
        <is>
          <t>Billing ledger and payment posting</t>
        </is>
      </c>
      <c r="C57" s="22" t="inlineStr">
        <is>
          <t>P1</t>
        </is>
      </c>
      <c r="D57" s="22" t="inlineStr">
        <is>
          <t>READ-ONLY</t>
        </is>
      </c>
      <c r="E57" s="21" t="inlineStr">
        <is>
          <t>No negative amounts anywhere</t>
        </is>
      </c>
      <c r="F57" s="21" t="inlineStr">
        <is>
          <t>Review the ledger</t>
        </is>
      </c>
      <c r="G57" s="21" t="inlineStr">
        <is>
          <t>No negative charge, paid or write-off values.</t>
        </is>
      </c>
      <c r="H57" s="18" t="n"/>
      <c r="I57" s="19" t="n"/>
      <c r="J57" s="19" t="n"/>
      <c r="K57" s="19" t="n"/>
      <c r="L57" s="19" t="n"/>
    </row>
    <row r="58" ht="30" customHeight="1">
      <c r="A58" s="16" t="inlineStr">
        <is>
          <t>CLM-001</t>
        </is>
      </c>
      <c r="B58" s="6" t="inlineStr">
        <is>
          <t>Claims and the claim workspace</t>
        </is>
      </c>
      <c r="C58" s="17" t="inlineStr">
        <is>
          <t>P1</t>
        </is>
      </c>
      <c r="D58" s="17" t="inlineStr">
        <is>
          <t>READ-ONLY</t>
        </is>
      </c>
      <c r="E58" s="6" t="inlineStr">
        <is>
          <t>Claims list renders</t>
        </is>
      </c>
      <c r="F58" s="6" t="inlineStr">
        <is>
          <t>Open Claims</t>
        </is>
      </c>
      <c r="G58" s="6" t="inlineStr">
        <is>
          <t>Claim, patient, payer, CPT/Dx, amount, status, actions.</t>
        </is>
      </c>
      <c r="H58" s="18" t="n"/>
      <c r="I58" s="19" t="n"/>
      <c r="J58" s="19" t="n"/>
      <c r="K58" s="19" t="n"/>
      <c r="L58" s="19" t="n"/>
    </row>
    <row r="59" ht="30" customHeight="1">
      <c r="A59" s="20" t="inlineStr">
        <is>
          <t>CLM-002</t>
        </is>
      </c>
      <c r="B59" s="21" t="inlineStr">
        <is>
          <t>Claims and the claim workspace</t>
        </is>
      </c>
      <c r="C59" s="22" t="inlineStr">
        <is>
          <t>P1</t>
        </is>
      </c>
      <c r="D59" s="22" t="inlineStr">
        <is>
          <t>READ-ONLY</t>
        </is>
      </c>
      <c r="E59" s="21" t="inlineStr">
        <is>
          <t>Existing actions still work</t>
        </is>
      </c>
      <c r="F59" s="21" t="inlineStr">
        <is>
          <t>Check Submit on a Draft claim, and Edit Claim from the ledger</t>
        </is>
      </c>
      <c r="G59" s="21" t="inlineStr">
        <is>
          <t>Both still present and working. Regression after the workspace was added.</t>
        </is>
      </c>
      <c r="H59" s="18" t="n"/>
      <c r="I59" s="19" t="n"/>
      <c r="J59" s="19" t="n"/>
      <c r="K59" s="19" t="n"/>
      <c r="L59" s="19" t="n"/>
    </row>
    <row r="60" ht="30" customHeight="1">
      <c r="A60" s="16" t="inlineStr">
        <is>
          <t>CLM-003</t>
        </is>
      </c>
      <c r="B60" s="6" t="inlineStr">
        <is>
          <t>Claims and the claim workspace</t>
        </is>
      </c>
      <c r="C60" s="17" t="inlineStr">
        <is>
          <t>P1</t>
        </is>
      </c>
      <c r="D60" s="17" t="inlineStr">
        <is>
          <t>READ-ONLY</t>
        </is>
      </c>
      <c r="E60" s="6" t="inlineStr">
        <is>
          <t>Workspace opens</t>
        </is>
      </c>
      <c r="F60" s="6" t="inlineStr">
        <is>
          <t>Click Open claim</t>
        </is>
      </c>
      <c r="G60" s="6" t="inlineStr">
        <is>
          <t>All eight sections render: Patient, Insurance, Provider, Claim, Diagnosis, Procedures/CPT, Service Facility, Claim Summary.</t>
        </is>
      </c>
      <c r="H60" s="18" t="n"/>
      <c r="I60" s="19" t="n"/>
      <c r="J60" s="19" t="n"/>
      <c r="K60" s="19" t="n"/>
      <c r="L60" s="19" t="n"/>
    </row>
    <row r="61" ht="30" customHeight="1">
      <c r="A61" s="20" t="inlineStr">
        <is>
          <t>CLM-004</t>
        </is>
      </c>
      <c r="B61" s="21" t="inlineStr">
        <is>
          <t>Claims and the claim workspace</t>
        </is>
      </c>
      <c r="C61" s="22" t="inlineStr">
        <is>
          <t>P1</t>
        </is>
      </c>
      <c r="D61" s="22" t="inlineStr">
        <is>
          <t>READ-ONLY</t>
        </is>
      </c>
      <c r="E61" s="21" t="inlineStr">
        <is>
          <t>Auto-population</t>
        </is>
      </c>
      <c r="F61" s="21" t="inlineStr">
        <is>
          <t>Compare the workspace with the patient and policy records</t>
        </is>
      </c>
      <c r="G61" s="21" t="inlineStr">
        <is>
          <t>Demographics, insurance and provider fields match the stored records. Nothing is re-typed.</t>
        </is>
      </c>
      <c r="H61" s="18" t="n"/>
      <c r="I61" s="19" t="n"/>
      <c r="J61" s="19" t="n"/>
      <c r="K61" s="19" t="n"/>
      <c r="L61" s="19" t="n"/>
    </row>
    <row r="62" ht="30" customHeight="1">
      <c r="A62" s="16" t="inlineStr">
        <is>
          <t>CLM-005</t>
        </is>
      </c>
      <c r="B62" s="6" t="inlineStr">
        <is>
          <t>Claims and the claim workspace</t>
        </is>
      </c>
      <c r="C62" s="17" t="inlineStr">
        <is>
          <t>P1</t>
        </is>
      </c>
      <c r="D62" s="17" t="inlineStr">
        <is>
          <t>READ-ONLY</t>
        </is>
      </c>
      <c r="E62" s="6" t="inlineStr">
        <is>
          <t>Insurance is read-only here</t>
        </is>
      </c>
      <c r="F62" s="6" t="inlineStr">
        <is>
          <t>Try to edit insurance in the workspace</t>
        </is>
      </c>
      <c r="G62" s="6" t="inlineStr">
        <is>
          <t>Not editable. A note points to the patient's Insurance tab.</t>
        </is>
      </c>
      <c r="H62" s="18" t="n"/>
      <c r="I62" s="19" t="n"/>
      <c r="J62" s="19" t="n"/>
      <c r="K62" s="19" t="n"/>
      <c r="L62" s="19" t="n"/>
    </row>
    <row r="63" ht="30" customHeight="1">
      <c r="A63" s="20" t="inlineStr">
        <is>
          <t>CLM-006</t>
        </is>
      </c>
      <c r="B63" s="21" t="inlineStr">
        <is>
          <t>Claims and the claim workspace</t>
        </is>
      </c>
      <c r="C63" s="22" t="inlineStr">
        <is>
          <t>P1</t>
        </is>
      </c>
      <c r="D63" s="22" t="inlineStr">
        <is>
          <t>READ-ONLY</t>
        </is>
      </c>
      <c r="E63" s="21" t="inlineStr">
        <is>
          <t>Total equals the sum of lines</t>
        </is>
      </c>
      <c r="F63" s="21" t="inlineStr">
        <is>
          <t>Compare the Claim Summary total with its line amounts</t>
        </is>
      </c>
      <c r="G63" s="21" t="inlineStr">
        <is>
          <t>Exactly equal. A mismatch is a High defect.</t>
        </is>
      </c>
      <c r="H63" s="18" t="n"/>
      <c r="I63" s="19" t="n"/>
      <c r="J63" s="19" t="n"/>
      <c r="K63" s="19" t="n"/>
      <c r="L63" s="19" t="n"/>
    </row>
    <row r="64" ht="30" customHeight="1">
      <c r="A64" s="16" t="inlineStr">
        <is>
          <t>CLM-007</t>
        </is>
      </c>
      <c r="B64" s="6" t="inlineStr">
        <is>
          <t>Claims and the claim workspace</t>
        </is>
      </c>
      <c r="C64" s="17" t="inlineStr">
        <is>
          <t>P1</t>
        </is>
      </c>
      <c r="D64" s="17" t="inlineStr">
        <is>
          <t>READ-ONLY</t>
        </is>
      </c>
      <c r="E64" s="6" t="inlineStr">
        <is>
          <t>Multiple service lines</t>
        </is>
      </c>
      <c r="F64" s="6" t="inlineStr">
        <is>
          <t>Open a claim whose patient has several charges on one date</t>
        </is>
      </c>
      <c r="G64" s="6" t="inlineStr">
        <is>
          <t>Each charge is a separate numbered line.</t>
        </is>
      </c>
      <c r="H64" s="18" t="n"/>
      <c r="I64" s="19" t="n"/>
      <c r="J64" s="19" t="n"/>
      <c r="K64" s="19" t="n"/>
      <c r="L64" s="19" t="n"/>
    </row>
    <row r="65" ht="30" customHeight="1">
      <c r="A65" s="20" t="inlineStr">
        <is>
          <t>CLM-008</t>
        </is>
      </c>
      <c r="B65" s="21" t="inlineStr">
        <is>
          <t>Claims and the claim workspace</t>
        </is>
      </c>
      <c r="C65" s="22" t="inlineStr">
        <is>
          <t>P1</t>
        </is>
      </c>
      <c r="D65" s="22" t="inlineStr">
        <is>
          <t>READ-ONLY</t>
        </is>
      </c>
      <c r="E65" s="21" t="inlineStr">
        <is>
          <t>Twelve diagnosis slots</t>
        </is>
      </c>
      <c r="F65" s="21" t="inlineStr">
        <is>
          <t>Check the Diagnosis section</t>
        </is>
      </c>
      <c r="G65" s="21" t="inlineStr">
        <is>
          <t>Twelve slots labelled A–L.</t>
        </is>
      </c>
      <c r="H65" s="18" t="n"/>
      <c r="I65" s="19" t="n"/>
      <c r="J65" s="19" t="n"/>
      <c r="K65" s="19" t="n"/>
      <c r="L65" s="19" t="n"/>
    </row>
    <row r="66" ht="30" customHeight="1">
      <c r="A66" s="16" t="inlineStr">
        <is>
          <t>CLM-009</t>
        </is>
      </c>
      <c r="B66" s="6" t="inlineStr">
        <is>
          <t>Claims and the claim workspace</t>
        </is>
      </c>
      <c r="C66" s="17" t="inlineStr">
        <is>
          <t>P1</t>
        </is>
      </c>
      <c r="D66" s="17" t="inlineStr">
        <is>
          <t>WRITE</t>
        </is>
      </c>
      <c r="E66" s="6" t="inlineStr">
        <is>
          <t>Diagnosis codes persist</t>
        </is>
      </c>
      <c r="F66" s="6" t="inlineStr">
        <is>
          <t>Enter codes, save, reopen</t>
        </is>
      </c>
      <c r="G66" s="6" t="inlineStr">
        <is>
          <t>All codes retained. Regression: a charge whose array was not exactly 10 long used to lose every code.</t>
        </is>
      </c>
      <c r="H66" s="18" t="n"/>
      <c r="I66" s="19" t="n"/>
      <c r="J66" s="19" t="n"/>
      <c r="K66" s="19" t="n"/>
      <c r="L66" s="19" t="n"/>
    </row>
    <row r="67" ht="30" customHeight="1">
      <c r="A67" s="20" t="inlineStr">
        <is>
          <t>CLM-010</t>
        </is>
      </c>
      <c r="B67" s="21" t="inlineStr">
        <is>
          <t>Claims and the claim workspace</t>
        </is>
      </c>
      <c r="C67" s="22" t="inlineStr">
        <is>
          <t>P2</t>
        </is>
      </c>
      <c r="D67" s="22" t="inlineStr">
        <is>
          <t>WRITE</t>
        </is>
      </c>
      <c r="E67" s="21" t="inlineStr">
        <is>
          <t>Modifiers and POS persist</t>
        </is>
      </c>
      <c r="F67" s="21" t="inlineStr">
        <is>
          <t>Set a modifier and place of service, save, reopen</t>
        </is>
      </c>
      <c r="G67" s="21" t="inlineStr">
        <is>
          <t>Both retained per line.</t>
        </is>
      </c>
      <c r="H67" s="18" t="n"/>
      <c r="I67" s="19" t="n"/>
      <c r="J67" s="19" t="n"/>
      <c r="K67" s="19" t="n"/>
      <c r="L67" s="19" t="n"/>
    </row>
    <row r="68" ht="30" customHeight="1">
      <c r="A68" s="16" t="inlineStr">
        <is>
          <t>CLM-011</t>
        </is>
      </c>
      <c r="B68" s="6" t="inlineStr">
        <is>
          <t>Claims and the claim workspace</t>
        </is>
      </c>
      <c r="C68" s="17" t="inlineStr">
        <is>
          <t>P1</t>
        </is>
      </c>
      <c r="D68" s="17" t="inlineStr">
        <is>
          <t>WRITE</t>
        </is>
      </c>
      <c r="E68" s="6" t="inlineStr">
        <is>
          <t>Validate reports by section</t>
        </is>
      </c>
      <c r="F68" s="6" t="inlineStr">
        <is>
          <t>Click Validate claim</t>
        </is>
      </c>
      <c r="G68" s="6" t="inlineStr">
        <is>
          <t>Problems grouped by section; clicking one scrolls to it.</t>
        </is>
      </c>
      <c r="H68" s="18" t="n"/>
      <c r="I68" s="19" t="n"/>
      <c r="J68" s="19" t="n"/>
      <c r="K68" s="19" t="n"/>
      <c r="L68" s="19" t="n"/>
    </row>
    <row r="69" ht="30" customHeight="1">
      <c r="A69" s="20" t="inlineStr">
        <is>
          <t>CLM-012</t>
        </is>
      </c>
      <c r="B69" s="21" t="inlineStr">
        <is>
          <t>Claims and the claim workspace</t>
        </is>
      </c>
      <c r="C69" s="22" t="inlineStr">
        <is>
          <t>P1</t>
        </is>
      </c>
      <c r="D69" s="22" t="inlineStr">
        <is>
          <t>WRITE</t>
        </is>
      </c>
      <c r="E69" s="21" t="inlineStr">
        <is>
          <t>Invalid diagnosis pointer caught</t>
        </is>
      </c>
      <c r="F69" s="21" t="inlineStr">
        <is>
          <t>Set a pointer to a letter with no diagnosis entered</t>
        </is>
      </c>
      <c r="G69" s="21" t="inlineStr">
        <is>
          <t>Reported as a blocking problem.</t>
        </is>
      </c>
      <c r="H69" s="18" t="n"/>
      <c r="I69" s="19" t="n"/>
      <c r="J69" s="19" t="n"/>
      <c r="K69" s="19" t="n"/>
      <c r="L69" s="19" t="n"/>
    </row>
    <row r="70" ht="30" customHeight="1">
      <c r="A70" s="16" t="inlineStr">
        <is>
          <t>CLM-013</t>
        </is>
      </c>
      <c r="B70" s="6" t="inlineStr">
        <is>
          <t>Claims and the claim workspace</t>
        </is>
      </c>
      <c r="C70" s="17" t="inlineStr">
        <is>
          <t>P1</t>
        </is>
      </c>
      <c r="D70" s="17" t="inlineStr">
        <is>
          <t>WRITE</t>
        </is>
      </c>
      <c r="E70" s="6" t="inlineStr">
        <is>
          <t>Invalid NPI caught</t>
        </is>
      </c>
      <c r="F70" s="6" t="inlineStr">
        <is>
          <t>Set an NPI with a wrong check digit</t>
        </is>
      </c>
      <c r="G70" s="6" t="inlineStr">
        <is>
          <t>Reported as a blocking problem.</t>
        </is>
      </c>
      <c r="H70" s="18" t="n"/>
      <c r="I70" s="19" t="n"/>
      <c r="J70" s="19" t="n"/>
      <c r="K70" s="19" t="n"/>
      <c r="L70" s="19" t="n"/>
    </row>
    <row r="71" ht="30" customHeight="1">
      <c r="A71" s="20" t="inlineStr">
        <is>
          <t>CLM-014</t>
        </is>
      </c>
      <c r="B71" s="21" t="inlineStr">
        <is>
          <t>Claims and the claim workspace</t>
        </is>
      </c>
      <c r="C71" s="22" t="inlineStr">
        <is>
          <t>P1</t>
        </is>
      </c>
      <c r="D71" s="22" t="inlineStr">
        <is>
          <t>READ-ONLY</t>
        </is>
      </c>
      <c r="E71" s="21" t="inlineStr">
        <is>
          <t>Validation does not overstate</t>
        </is>
      </c>
      <c r="F71" s="21" t="inlineStr">
        <is>
          <t>Read the validation panel</t>
        </is>
      </c>
      <c r="G71" s="21" t="inlineStr">
        <is>
          <t>States that passing does not mean the claim will be accepted.</t>
        </is>
      </c>
      <c r="H71" s="18" t="n"/>
      <c r="I71" s="19" t="n"/>
      <c r="J71" s="19" t="n"/>
      <c r="K71" s="19" t="n"/>
      <c r="L71" s="19" t="n"/>
    </row>
    <row r="72" ht="30" customHeight="1">
      <c r="A72" s="16" t="inlineStr">
        <is>
          <t>CLM-015</t>
        </is>
      </c>
      <c r="B72" s="6" t="inlineStr">
        <is>
          <t>Claims and the claim workspace</t>
        </is>
      </c>
      <c r="C72" s="17" t="inlineStr">
        <is>
          <t>P1</t>
        </is>
      </c>
      <c r="D72" s="17" t="inlineStr">
        <is>
          <t>WRITE</t>
        </is>
      </c>
      <c r="E72" s="6" t="inlineStr">
        <is>
          <t>Payer verdict preserved</t>
        </is>
      </c>
      <c r="F72" s="6" t="inlineStr">
        <is>
          <t>Validate a claim already marked Denied</t>
        </is>
      </c>
      <c r="G72" s="6" t="inlineStr">
        <is>
          <t>Stays Denied. It does not become "Validation Error".</t>
        </is>
      </c>
      <c r="H72" s="18" t="n"/>
      <c r="I72" s="19" t="n"/>
      <c r="J72" s="19" t="n"/>
      <c r="K72" s="19" t="n"/>
      <c r="L72" s="19" t="n"/>
    </row>
    <row r="73" ht="30" customHeight="1">
      <c r="A73" s="20" t="inlineStr">
        <is>
          <t>CLM-016</t>
        </is>
      </c>
      <c r="B73" s="21" t="inlineStr">
        <is>
          <t>Claims and the claim workspace</t>
        </is>
      </c>
      <c r="C73" s="22" t="inlineStr">
        <is>
          <t>P1</t>
        </is>
      </c>
      <c r="D73" s="22" t="inlineStr">
        <is>
          <t>WRITE</t>
        </is>
      </c>
      <c r="E73" s="21" t="inlineStr">
        <is>
          <t>Incomplete claim not submitted</t>
        </is>
      </c>
      <c r="F73" s="21" t="inlineStr">
        <is>
          <t>Remove the diagnosis, click Electronic claim</t>
        </is>
      </c>
      <c r="G73" s="21" t="inlineStr">
        <is>
          <t>Refused, problems listed, nothing transmitted.</t>
        </is>
      </c>
      <c r="H73" s="18" t="n"/>
      <c r="I73" s="19" t="n"/>
      <c r="J73" s="19" t="n"/>
      <c r="K73" s="19" t="n"/>
      <c r="L73" s="19" t="n"/>
    </row>
    <row r="74" ht="30" customHeight="1">
      <c r="A74" s="16" t="inlineStr">
        <is>
          <t>CLM-017</t>
        </is>
      </c>
      <c r="B74" s="6" t="inlineStr">
        <is>
          <t>Claims and the claim workspace</t>
        </is>
      </c>
      <c r="C74" s="17" t="inlineStr">
        <is>
          <t>P1</t>
        </is>
      </c>
      <c r="D74" s="17" t="inlineStr">
        <is>
          <t>READ-ONLY</t>
        </is>
      </c>
      <c r="E74" s="6" t="inlineStr">
        <is>
          <t>Electronic claim honest when unconfigured</t>
        </is>
      </c>
      <c r="F74" s="6" t="inlineStr">
        <is>
          <t>Look at the Electronic claim button</t>
        </is>
      </c>
      <c r="G74" s="6" t="inlineStr">
        <is>
          <t>Disabled, with a stated reason. It must never report Submitted or Accepted.</t>
        </is>
      </c>
      <c r="H74" s="18" t="n"/>
      <c r="I74" s="19" t="n"/>
      <c r="J74" s="19" t="n"/>
      <c r="K74" s="19" t="n"/>
      <c r="L74" s="19" t="n"/>
    </row>
    <row r="75" ht="30" customHeight="1">
      <c r="A75" s="20" t="inlineStr">
        <is>
          <t>CLM-018</t>
        </is>
      </c>
      <c r="B75" s="21" t="inlineStr">
        <is>
          <t>Claims and the claim workspace</t>
        </is>
      </c>
      <c r="C75" s="22" t="inlineStr">
        <is>
          <t>P1</t>
        </is>
      </c>
      <c r="D75" s="22" t="inlineStr">
        <is>
          <t>READ-ONLY</t>
        </is>
      </c>
      <c r="E75" s="21" t="inlineStr">
        <is>
          <t>History is append-only</t>
        </is>
      </c>
      <c r="F75" s="21" t="inlineStr">
        <is>
          <t>Open Claim history</t>
        </is>
      </c>
      <c r="G75" s="21" t="inlineStr">
        <is>
          <t>Events listed oldest-first with who and when; states they are never overwritten.</t>
        </is>
      </c>
      <c r="H75" s="18" t="n"/>
      <c r="I75" s="19" t="n"/>
      <c r="J75" s="19" t="n"/>
      <c r="K75" s="19" t="n"/>
      <c r="L75" s="19" t="n"/>
    </row>
    <row r="76" ht="30" customHeight="1">
      <c r="A76" s="16" t="inlineStr">
        <is>
          <t>CLM-019</t>
        </is>
      </c>
      <c r="B76" s="6" t="inlineStr">
        <is>
          <t>Claims and the claim workspace</t>
        </is>
      </c>
      <c r="C76" s="17" t="inlineStr">
        <is>
          <t>P2</t>
        </is>
      </c>
      <c r="D76" s="17" t="inlineStr">
        <is>
          <t>WRITE</t>
        </is>
      </c>
      <c r="E76" s="6" t="inlineStr">
        <is>
          <t>Unsaved-changes guard</t>
        </is>
      </c>
      <c r="F76" s="6" t="inlineStr">
        <is>
          <t>Edit a field, then click Print or Electronic claim</t>
        </is>
      </c>
      <c r="G76" s="6" t="inlineStr">
        <is>
          <t>Prompted to Save &amp; continue or Cancel. Nothing is silently discarded.</t>
        </is>
      </c>
      <c r="H76" s="18" t="n"/>
      <c r="I76" s="19" t="n"/>
      <c r="J76" s="19" t="n"/>
      <c r="K76" s="19" t="n"/>
      <c r="L76" s="19" t="n"/>
    </row>
    <row r="77" ht="30" customHeight="1">
      <c r="A77" s="20" t="inlineStr">
        <is>
          <t>CLM-020</t>
        </is>
      </c>
      <c r="B77" s="21" t="inlineStr">
        <is>
          <t>Claims and the claim workspace</t>
        </is>
      </c>
      <c r="C77" s="22" t="inlineStr">
        <is>
          <t>P2</t>
        </is>
      </c>
      <c r="D77" s="22" t="inlineStr">
        <is>
          <t>READ-ONLY</t>
        </is>
      </c>
      <c r="E77" s="21" t="inlineStr">
        <is>
          <t>Rejection shows the real reason</t>
        </is>
      </c>
      <c r="F77" s="21" t="inlineStr">
        <is>
          <t>Open a Rejected claim</t>
        </is>
      </c>
      <c r="G77" s="21" t="inlineStr">
        <is>
          <t>Shows the returned code and text, or says none was returned. No invented reason.</t>
        </is>
      </c>
      <c r="H77" s="18" t="n"/>
      <c r="I77" s="19" t="n"/>
      <c r="J77" s="19" t="n"/>
      <c r="K77" s="19" t="n"/>
      <c r="L77" s="19" t="n"/>
    </row>
    <row r="78" ht="30" customHeight="1">
      <c r="A78" s="16" t="inlineStr">
        <is>
          <t>HCFA-001</t>
        </is>
      </c>
      <c r="B78" s="6" t="inlineStr">
        <is>
          <t>CMS-1500 / HCFA</t>
        </is>
      </c>
      <c r="C78" s="17" t="inlineStr">
        <is>
          <t>P1</t>
        </is>
      </c>
      <c r="D78" s="17" t="inlineStr">
        <is>
          <t>READ-ONLY</t>
        </is>
      </c>
      <c r="E78" s="6" t="inlineStr">
        <is>
          <t>Preview opens</t>
        </is>
      </c>
      <c r="F78" s="6" t="inlineStr">
        <is>
          <t>Claim → HCFA preview</t>
        </is>
      </c>
      <c r="G78" s="6" t="inlineStr">
        <is>
          <t>A full CMS-1500 sheet renders.</t>
        </is>
      </c>
      <c r="H78" s="18" t="n"/>
      <c r="I78" s="19" t="n"/>
      <c r="J78" s="19" t="n"/>
      <c r="K78" s="19" t="n"/>
      <c r="L78" s="19" t="n"/>
    </row>
    <row r="79" ht="30" customHeight="1">
      <c r="A79" s="20" t="inlineStr">
        <is>
          <t>HCFA-002</t>
        </is>
      </c>
      <c r="B79" s="21" t="inlineStr">
        <is>
          <t>CMS-1500 / HCFA</t>
        </is>
      </c>
      <c r="C79" s="22" t="inlineStr">
        <is>
          <t>P1</t>
        </is>
      </c>
      <c r="D79" s="22" t="inlineStr">
        <is>
          <t>READ-ONLY</t>
        </is>
      </c>
      <c r="E79" s="21" t="inlineStr">
        <is>
          <t>Sheet is a fixed physical size</t>
        </is>
      </c>
      <c r="F79" s="21" t="inlineStr">
        <is>
          <t>Measure or inspect the sheet</t>
        </is>
      </c>
      <c r="G79" s="21" t="inlineStr">
        <is>
          <t>8.5 × 11 in proportions. Not responsive — it must not reflow with the window.</t>
        </is>
      </c>
      <c r="H79" s="18" t="n"/>
      <c r="I79" s="19" t="n"/>
      <c r="J79" s="19" t="n"/>
      <c r="K79" s="19" t="n"/>
      <c r="L79" s="19" t="n"/>
    </row>
    <row r="80" ht="30" customHeight="1">
      <c r="A80" s="16" t="inlineStr">
        <is>
          <t>HCFA-003</t>
        </is>
      </c>
      <c r="B80" s="6" t="inlineStr">
        <is>
          <t>CMS-1500 / HCFA</t>
        </is>
      </c>
      <c r="C80" s="17" t="inlineStr">
        <is>
          <t>P1</t>
        </is>
      </c>
      <c r="D80" s="17" t="inlineStr">
        <is>
          <t>READ-ONLY</t>
        </is>
      </c>
      <c r="E80" s="6" t="inlineStr">
        <is>
          <t>Box 1a, 2, 3</t>
        </is>
      </c>
      <c r="F80" s="6" t="inlineStr">
        <is>
          <t>Compare with the patient record</t>
        </is>
      </c>
      <c r="G80" s="6" t="inlineStr">
        <is>
          <t>Member ID, patient name, DOB as MM DD YYYY.</t>
        </is>
      </c>
      <c r="H80" s="18" t="n"/>
      <c r="I80" s="19" t="n"/>
      <c r="J80" s="19" t="n"/>
      <c r="K80" s="19" t="n"/>
      <c r="L80" s="19" t="n"/>
    </row>
    <row r="81" ht="30" customHeight="1">
      <c r="A81" s="20" t="inlineStr">
        <is>
          <t>HCFA-004</t>
        </is>
      </c>
      <c r="B81" s="21" t="inlineStr">
        <is>
          <t>CMS-1500 / HCFA</t>
        </is>
      </c>
      <c r="C81" s="22" t="inlineStr">
        <is>
          <t>P1</t>
        </is>
      </c>
      <c r="D81" s="22" t="inlineStr">
        <is>
          <t>READ-ONLY</t>
        </is>
      </c>
      <c r="E81" s="21" t="inlineStr">
        <is>
          <t>Box 5 address block</t>
        </is>
      </c>
      <c r="F81" s="21" t="inlineStr">
        <is>
          <t>Compare with the patient record</t>
        </is>
      </c>
      <c r="G81" s="21" t="inlineStr">
        <is>
          <t>Address, city, state, ZIP, phone in their own boxes.</t>
        </is>
      </c>
      <c r="H81" s="18" t="n"/>
      <c r="I81" s="19" t="n"/>
      <c r="J81" s="19" t="n"/>
      <c r="K81" s="19" t="n"/>
      <c r="L81" s="19" t="n"/>
    </row>
    <row r="82" ht="30" customHeight="1">
      <c r="A82" s="16" t="inlineStr">
        <is>
          <t>HCFA-005</t>
        </is>
      </c>
      <c r="B82" s="6" t="inlineStr">
        <is>
          <t>CMS-1500 / HCFA</t>
        </is>
      </c>
      <c r="C82" s="17" t="inlineStr">
        <is>
          <t>P1</t>
        </is>
      </c>
      <c r="D82" s="17" t="inlineStr">
        <is>
          <t>READ-ONLY</t>
        </is>
      </c>
      <c r="E82" s="6" t="inlineStr">
        <is>
          <t>Box 21 diagnoses</t>
        </is>
      </c>
      <c r="F82" s="6" t="inlineStr">
        <is>
          <t>Compare with the Diagnosis section</t>
        </is>
      </c>
      <c r="G82" s="6" t="inlineStr">
        <is>
          <t>Codes in slots A–L, in order, with unused slots empty.</t>
        </is>
      </c>
      <c r="H82" s="18" t="n"/>
      <c r="I82" s="19" t="n"/>
      <c r="J82" s="19" t="n"/>
      <c r="K82" s="19" t="n"/>
      <c r="L82" s="19" t="n"/>
    </row>
    <row r="83" ht="30" customHeight="1">
      <c r="A83" s="20" t="inlineStr">
        <is>
          <t>HCFA-006</t>
        </is>
      </c>
      <c r="B83" s="21" t="inlineStr">
        <is>
          <t>CMS-1500 / HCFA</t>
        </is>
      </c>
      <c r="C83" s="22" t="inlineStr">
        <is>
          <t>P1</t>
        </is>
      </c>
      <c r="D83" s="22" t="inlineStr">
        <is>
          <t>READ-ONLY</t>
        </is>
      </c>
      <c r="E83" s="21" t="inlineStr">
        <is>
          <t>Box 24 service lines</t>
        </is>
      </c>
      <c r="F83" s="21" t="inlineStr">
        <is>
          <t>Compare with the Procedures section</t>
        </is>
      </c>
      <c r="G83" s="21" t="inlineStr">
        <is>
          <t>DOS, POS, CPT, modifier, pointer, charge, units, NPI per line.</t>
        </is>
      </c>
      <c r="H83" s="18" t="n"/>
      <c r="I83" s="19" t="n"/>
      <c r="J83" s="19" t="n"/>
      <c r="K83" s="19" t="n"/>
      <c r="L83" s="19" t="n"/>
    </row>
    <row r="84" ht="30" customHeight="1">
      <c r="A84" s="16" t="inlineStr">
        <is>
          <t>HCFA-007</t>
        </is>
      </c>
      <c r="B84" s="6" t="inlineStr">
        <is>
          <t>CMS-1500 / HCFA</t>
        </is>
      </c>
      <c r="C84" s="17" t="inlineStr">
        <is>
          <t>P1</t>
        </is>
      </c>
      <c r="D84" s="17" t="inlineStr">
        <is>
          <t>READ-ONLY</t>
        </is>
      </c>
      <c r="E84" s="6" t="inlineStr">
        <is>
          <t>Box 25, 31, 32, 33</t>
        </is>
      </c>
      <c r="F84" s="6" t="inlineStr">
        <is>
          <t>Compare with the Provider section</t>
        </is>
      </c>
      <c r="G84" s="6" t="inlineStr">
        <is>
          <t>Tax ID, rendering provider, facility, billing provider + NPI.</t>
        </is>
      </c>
      <c r="H84" s="18" t="n"/>
      <c r="I84" s="19" t="n"/>
      <c r="J84" s="19" t="n"/>
      <c r="K84" s="19" t="n"/>
      <c r="L84" s="19" t="n"/>
    </row>
    <row r="85" ht="30" customHeight="1">
      <c r="A85" s="20" t="inlineStr">
        <is>
          <t>HCFA-008</t>
        </is>
      </c>
      <c r="B85" s="21" t="inlineStr">
        <is>
          <t>CMS-1500 / HCFA</t>
        </is>
      </c>
      <c r="C85" s="22" t="inlineStr">
        <is>
          <t>P1</t>
        </is>
      </c>
      <c r="D85" s="22" t="inlineStr">
        <is>
          <t>READ-ONLY</t>
        </is>
      </c>
      <c r="E85" s="21" t="inlineStr">
        <is>
          <t>Box 28 total</t>
        </is>
      </c>
      <c r="F85" s="21" t="inlineStr">
        <is>
          <t>Compare with the Claim Summary</t>
        </is>
      </c>
      <c r="G85" s="21" t="inlineStr">
        <is>
          <t>Identical to the claim total.</t>
        </is>
      </c>
      <c r="H85" s="18" t="n"/>
      <c r="I85" s="19" t="n"/>
      <c r="J85" s="19" t="n"/>
      <c r="K85" s="19" t="n"/>
      <c r="L85" s="19" t="n"/>
    </row>
    <row r="86" ht="30" customHeight="1">
      <c r="A86" s="16" t="inlineStr">
        <is>
          <t>HCFA-009</t>
        </is>
      </c>
      <c r="B86" s="6" t="inlineStr">
        <is>
          <t>CMS-1500 / HCFA</t>
        </is>
      </c>
      <c r="C86" s="17" t="inlineStr">
        <is>
          <t>P1</t>
        </is>
      </c>
      <c r="D86" s="17" t="inlineStr">
        <is>
          <t>READ-ONLY</t>
        </is>
      </c>
      <c r="E86" s="6" t="inlineStr">
        <is>
          <t>Missing data stays blank</t>
        </is>
      </c>
      <c r="F86" s="6" t="inlineStr">
        <is>
          <t>Open a claim with gaps</t>
        </is>
      </c>
      <c r="G86" s="6" t="inlineStr">
        <is>
          <t>Blank boxes. Nothing is guessed or auto-filled.</t>
        </is>
      </c>
      <c r="H86" s="18" t="n"/>
      <c r="I86" s="19" t="n"/>
      <c r="J86" s="19" t="n"/>
      <c r="K86" s="19" t="n"/>
      <c r="L86" s="19" t="n"/>
    </row>
    <row r="87" ht="30" customHeight="1">
      <c r="A87" s="20" t="inlineStr">
        <is>
          <t>HCFA-010</t>
        </is>
      </c>
      <c r="B87" s="21" t="inlineStr">
        <is>
          <t>CMS-1500 / HCFA</t>
        </is>
      </c>
      <c r="C87" s="22" t="inlineStr">
        <is>
          <t>P1</t>
        </is>
      </c>
      <c r="D87" s="22" t="inlineStr">
        <is>
          <t>READ-ONLY</t>
        </is>
      </c>
      <c r="E87" s="21" t="inlineStr">
        <is>
          <t>Six-line cap</t>
        </is>
      </c>
      <c r="F87" s="21" t="inlineStr">
        <is>
          <t>Open a claim with 7+ lines</t>
        </is>
      </c>
      <c r="G87" s="21" t="inlineStr">
        <is>
          <t>Six lines on the sheet, and a warning that more than one sheet is needed.</t>
        </is>
      </c>
      <c r="H87" s="18" t="n"/>
      <c r="I87" s="19" t="n"/>
      <c r="J87" s="19" t="n"/>
      <c r="K87" s="19" t="n"/>
      <c r="L87" s="19" t="n"/>
    </row>
    <row r="88" ht="30" customHeight="1">
      <c r="A88" s="16" t="inlineStr">
        <is>
          <t>HCFA-011</t>
        </is>
      </c>
      <c r="B88" s="6" t="inlineStr">
        <is>
          <t>CMS-1500 / HCFA</t>
        </is>
      </c>
      <c r="C88" s="17" t="inlineStr">
        <is>
          <t>P1</t>
        </is>
      </c>
      <c r="D88" s="17" t="inlineStr">
        <is>
          <t>PAPER</t>
        </is>
      </c>
      <c r="E88" s="6" t="inlineStr">
        <is>
          <t>Preprinted print</t>
        </is>
      </c>
      <c r="F88" s="6" t="inlineStr">
        <is>
          <t>Load blank preprinted CMS-1500 stock. Print → HCFA preprinted paper</t>
        </is>
      </c>
      <c r="G88" s="6" t="inlineStr">
        <is>
          <t>Only data prints. No form outline. Data lands inside the printed boxes.</t>
        </is>
      </c>
      <c r="H88" s="18" t="n"/>
      <c r="I88" s="19" t="n"/>
      <c r="J88" s="19" t="n"/>
      <c r="K88" s="19" t="n"/>
      <c r="L88" s="19" t="n"/>
    </row>
    <row r="89" ht="30" customHeight="1">
      <c r="A89" s="20" t="inlineStr">
        <is>
          <t>HCFA-012</t>
        </is>
      </c>
      <c r="B89" s="21" t="inlineStr">
        <is>
          <t>CMS-1500 / HCFA</t>
        </is>
      </c>
      <c r="C89" s="22" t="inlineStr">
        <is>
          <t>P1</t>
        </is>
      </c>
      <c r="D89" s="22" t="inlineStr">
        <is>
          <t>PAPER</t>
        </is>
      </c>
      <c r="E89" s="21" t="inlineStr">
        <is>
          <t>With-form print</t>
        </is>
      </c>
      <c r="F89" s="21" t="inlineStr">
        <is>
          <t>Print → HCFA with form</t>
        </is>
      </c>
      <c r="G89" s="21" t="inlineStr">
        <is>
          <t>Form representation and data print together.</t>
        </is>
      </c>
      <c r="H89" s="18" t="n"/>
      <c r="I89" s="19" t="n"/>
      <c r="J89" s="19" t="n"/>
      <c r="K89" s="19" t="n"/>
      <c r="L89" s="19" t="n"/>
    </row>
    <row r="90" ht="30" customHeight="1">
      <c r="A90" s="16" t="inlineStr">
        <is>
          <t>HCFA-013</t>
        </is>
      </c>
      <c r="B90" s="6" t="inlineStr">
        <is>
          <t>CMS-1500 / HCFA</t>
        </is>
      </c>
      <c r="C90" s="17" t="inlineStr">
        <is>
          <t>P1</t>
        </is>
      </c>
      <c r="D90" s="17" t="inlineStr">
        <is>
          <t>READ-ONLY</t>
        </is>
      </c>
      <c r="E90" s="6" t="inlineStr">
        <is>
          <t>The two modes are distinct</t>
        </is>
      </c>
      <c r="F90" s="6" t="inlineStr">
        <is>
          <t>Compare HCFA-011 and HCFA-012 output</t>
        </is>
      </c>
      <c r="G90" s="6" t="inlineStr">
        <is>
          <t>Clearly different. They must never be conflated.</t>
        </is>
      </c>
      <c r="H90" s="18" t="n"/>
      <c r="I90" s="19" t="n"/>
      <c r="J90" s="19" t="n"/>
      <c r="K90" s="19" t="n"/>
      <c r="L90" s="19" t="n"/>
    </row>
    <row r="91" ht="30" customHeight="1">
      <c r="A91" s="20" t="inlineStr">
        <is>
          <t>HCFA-014</t>
        </is>
      </c>
      <c r="B91" s="21" t="inlineStr">
        <is>
          <t>CMS-1500 / HCFA</t>
        </is>
      </c>
      <c r="C91" s="22" t="inlineStr">
        <is>
          <t>P1</t>
        </is>
      </c>
      <c r="D91" s="22" t="inlineStr">
        <is>
          <t>READ-ONLY</t>
        </is>
      </c>
      <c r="E91" s="21" t="inlineStr">
        <is>
          <t>Facsimile disclaimer</t>
        </is>
      </c>
      <c r="F91" s="21" t="inlineStr">
        <is>
          <t>Switch to With form</t>
        </is>
      </c>
      <c r="G91" s="21" t="inlineStr">
        <is>
          <t>States it is not a substitute for official scannable red-ink stock.</t>
        </is>
      </c>
      <c r="H91" s="18" t="n"/>
      <c r="I91" s="19" t="n"/>
      <c r="J91" s="19" t="n"/>
      <c r="K91" s="19" t="n"/>
      <c r="L91" s="19" t="n"/>
    </row>
    <row r="92" ht="30" customHeight="1">
      <c r="A92" s="16" t="inlineStr">
        <is>
          <t>HCFA-015</t>
        </is>
      </c>
      <c r="B92" s="6" t="inlineStr">
        <is>
          <t>CMS-1500 / HCFA</t>
        </is>
      </c>
      <c r="C92" s="17" t="inlineStr">
        <is>
          <t>P1</t>
        </is>
      </c>
      <c r="D92" s="17" t="inlineStr">
        <is>
          <t>PAPER</t>
        </is>
      </c>
      <c r="E92" s="6" t="inlineStr">
        <is>
          <t>Alignment test page</t>
        </is>
      </c>
      <c r="F92" s="6" t="inlineStr">
        <is>
          <t>Tick Alignment test page, Test print</t>
        </is>
      </c>
      <c r="G92" s="6" t="inlineStr">
        <is>
          <t>Every field prints its own box number. No real claim needed.</t>
        </is>
      </c>
      <c r="H92" s="18" t="n"/>
      <c r="I92" s="19" t="n"/>
      <c r="J92" s="19" t="n"/>
      <c r="K92" s="19" t="n"/>
      <c r="L92" s="19" t="n"/>
    </row>
    <row r="93" ht="30" customHeight="1">
      <c r="A93" s="20" t="inlineStr">
        <is>
          <t>HCFA-016</t>
        </is>
      </c>
      <c r="B93" s="21" t="inlineStr">
        <is>
          <t>CMS-1500 / HCFA</t>
        </is>
      </c>
      <c r="C93" s="22" t="inlineStr">
        <is>
          <t>P1</t>
        </is>
      </c>
      <c r="D93" s="22" t="inlineStr">
        <is>
          <t>PAPER</t>
        </is>
      </c>
      <c r="E93" s="21" t="inlineStr">
        <is>
          <t>Horizontal calibration</t>
        </is>
      </c>
      <c r="F93" s="21" t="inlineStr">
        <is>
          <t>Nudge the horizontal offset, reprint</t>
        </is>
      </c>
      <c r="G93" s="21" t="inlineStr">
        <is>
          <t>Data shifts left/right by the offset.</t>
        </is>
      </c>
      <c r="H93" s="18" t="n"/>
      <c r="I93" s="19" t="n"/>
      <c r="J93" s="19" t="n"/>
      <c r="K93" s="19" t="n"/>
      <c r="L93" s="19" t="n"/>
    </row>
    <row r="94" ht="30" customHeight="1">
      <c r="A94" s="16" t="inlineStr">
        <is>
          <t>HCFA-017</t>
        </is>
      </c>
      <c r="B94" s="6" t="inlineStr">
        <is>
          <t>CMS-1500 / HCFA</t>
        </is>
      </c>
      <c r="C94" s="17" t="inlineStr">
        <is>
          <t>P1</t>
        </is>
      </c>
      <c r="D94" s="17" t="inlineStr">
        <is>
          <t>PAPER</t>
        </is>
      </c>
      <c r="E94" s="6" t="inlineStr">
        <is>
          <t>Vertical calibration</t>
        </is>
      </c>
      <c r="F94" s="6" t="inlineStr">
        <is>
          <t>Nudge the vertical offset, reprint</t>
        </is>
      </c>
      <c r="G94" s="6" t="inlineStr">
        <is>
          <t>Data shifts up/down by the offset.</t>
        </is>
      </c>
      <c r="H94" s="18" t="n"/>
      <c r="I94" s="19" t="n"/>
      <c r="J94" s="19" t="n"/>
      <c r="K94" s="19" t="n"/>
      <c r="L94" s="19" t="n"/>
    </row>
    <row r="95" ht="30" customHeight="1">
      <c r="A95" s="20" t="inlineStr">
        <is>
          <t>HCFA-018</t>
        </is>
      </c>
      <c r="B95" s="21" t="inlineStr">
        <is>
          <t>CMS-1500 / HCFA</t>
        </is>
      </c>
      <c r="C95" s="22" t="inlineStr">
        <is>
          <t>P2</t>
        </is>
      </c>
      <c r="D95" s="22" t="inlineStr">
        <is>
          <t>WRITE</t>
        </is>
      </c>
      <c r="E95" s="21" t="inlineStr">
        <is>
          <t>Offsets persist</t>
        </is>
      </c>
      <c r="F95" s="21" t="inlineStr">
        <is>
          <t>Save the offset, reload, reopen the preview</t>
        </is>
      </c>
      <c r="G95" s="21" t="inlineStr">
        <is>
          <t>The saved offset is applied.</t>
        </is>
      </c>
      <c r="H95" s="18" t="n"/>
      <c r="I95" s="19" t="n"/>
      <c r="J95" s="19" t="n"/>
      <c r="K95" s="19" t="n"/>
      <c r="L95" s="19" t="n"/>
    </row>
    <row r="96" ht="30" customHeight="1">
      <c r="A96" s="16" t="inlineStr">
        <is>
          <t>HCFA-019</t>
        </is>
      </c>
      <c r="B96" s="6" t="inlineStr">
        <is>
          <t>CMS-1500 / HCFA</t>
        </is>
      </c>
      <c r="C96" s="17" t="inlineStr">
        <is>
          <t>P2</t>
        </is>
      </c>
      <c r="D96" s="17" t="inlineStr">
        <is>
          <t>READ-ONLY</t>
        </is>
      </c>
      <c r="E96" s="6" t="inlineStr">
        <is>
          <t>Offsets are bounded</t>
        </is>
      </c>
      <c r="F96" s="6" t="inlineStr">
        <is>
          <t>Try a very large offset</t>
        </is>
      </c>
      <c r="G96" s="6" t="inlineStr">
        <is>
          <t>Refused — an offset beyond an inch pushes data off the sheet.</t>
        </is>
      </c>
      <c r="H96" s="18" t="n"/>
      <c r="I96" s="19" t="n"/>
      <c r="J96" s="19" t="n"/>
      <c r="K96" s="19" t="n"/>
      <c r="L96" s="19" t="n"/>
    </row>
    <row r="97" ht="30" customHeight="1">
      <c r="A97" s="20" t="inlineStr">
        <is>
          <t>HCFA-020</t>
        </is>
      </c>
      <c r="B97" s="21" t="inlineStr">
        <is>
          <t>CMS-1500 / HCFA</t>
        </is>
      </c>
      <c r="C97" s="22" t="inlineStr">
        <is>
          <t>P1</t>
        </is>
      </c>
      <c r="D97" s="22" t="inlineStr">
        <is>
          <t>PAPER</t>
        </is>
      </c>
      <c r="E97" s="21" t="inlineStr">
        <is>
          <t>No browser chrome prints</t>
        </is>
      </c>
      <c r="F97" s="21" t="inlineStr">
        <is>
          <t>Print and inspect the page</t>
        </is>
      </c>
      <c r="G97" s="21" t="inlineStr">
        <is>
          <t>No URL, page number, header, footer, or navigation. Margins are zero.</t>
        </is>
      </c>
      <c r="H97" s="18" t="n"/>
      <c r="I97" s="19" t="n"/>
      <c r="J97" s="19" t="n"/>
      <c r="K97" s="19" t="n"/>
      <c r="L97" s="19" t="n"/>
    </row>
    <row r="98" ht="30" customHeight="1">
      <c r="A98" s="16" t="inlineStr">
        <is>
          <t>HCFA-021</t>
        </is>
      </c>
      <c r="B98" s="6" t="inlineStr">
        <is>
          <t>CMS-1500 / HCFA</t>
        </is>
      </c>
      <c r="C98" s="17" t="inlineStr">
        <is>
          <t>P2</t>
        </is>
      </c>
      <c r="D98" s="17" t="inlineStr">
        <is>
          <t>WRITE</t>
        </is>
      </c>
      <c r="E98" s="6" t="inlineStr">
        <is>
          <t>Prints are audited</t>
        </is>
      </c>
      <c r="F98" s="6" t="inlineStr">
        <is>
          <t>Print, then check claim history</t>
        </is>
      </c>
      <c r="G98" s="6" t="inlineStr">
        <is>
          <t>An HCFA Printed event with the user and timestamp.</t>
        </is>
      </c>
      <c r="H98" s="18" t="n"/>
      <c r="I98" s="19" t="n"/>
      <c r="J98" s="19" t="n"/>
      <c r="K98" s="19" t="n"/>
      <c r="L98" s="19" t="n"/>
    </row>
    <row r="99" ht="30" customHeight="1">
      <c r="A99" s="20" t="inlineStr">
        <is>
          <t>MR-001</t>
        </is>
      </c>
      <c r="B99" s="21" t="inlineStr">
        <is>
          <t>Medical records</t>
        </is>
      </c>
      <c r="C99" s="22" t="inlineStr">
        <is>
          <t>P1</t>
        </is>
      </c>
      <c r="D99" s="22" t="inlineStr">
        <is>
          <t>WRITE</t>
        </is>
      </c>
      <c r="E99" s="21" t="inlineStr">
        <is>
          <t>Upload a PDF</t>
        </is>
      </c>
      <c r="F99" s="21" t="inlineStr">
        <is>
          <t>Upload with a name and record date</t>
        </is>
      </c>
      <c r="G99" s="21" t="inlineStr">
        <is>
          <t>Saved and listed.</t>
        </is>
      </c>
      <c r="H99" s="18" t="n"/>
      <c r="I99" s="19" t="n"/>
      <c r="J99" s="19" t="n"/>
      <c r="K99" s="19" t="n"/>
      <c r="L99" s="19" t="n"/>
    </row>
    <row r="100" ht="30" customHeight="1">
      <c r="A100" s="16" t="inlineStr">
        <is>
          <t>MR-002</t>
        </is>
      </c>
      <c r="B100" s="6" t="inlineStr">
        <is>
          <t>Medical records</t>
        </is>
      </c>
      <c r="C100" s="17" t="inlineStr">
        <is>
          <t>P1</t>
        </is>
      </c>
      <c r="D100" s="17" t="inlineStr">
        <is>
          <t>WRITE</t>
        </is>
      </c>
      <c r="E100" s="6" t="inlineStr">
        <is>
          <t>Record date ≠ upload date</t>
        </is>
      </c>
      <c r="F100" s="6" t="inlineStr">
        <is>
          <t>Upload with a past record date</t>
        </is>
      </c>
      <c r="G100" s="6" t="inlineStr">
        <is>
          <t>Both dates stored separately. The record date is never defaulted to today.</t>
        </is>
      </c>
      <c r="H100" s="18" t="n"/>
      <c r="I100" s="19" t="n"/>
      <c r="J100" s="19" t="n"/>
      <c r="K100" s="19" t="n"/>
      <c r="L100" s="19" t="n"/>
    </row>
    <row r="101" ht="30" customHeight="1">
      <c r="A101" s="20" t="inlineStr">
        <is>
          <t>MR-003</t>
        </is>
      </c>
      <c r="B101" s="21" t="inlineStr">
        <is>
          <t>Medical records</t>
        </is>
      </c>
      <c r="C101" s="22" t="inlineStr">
        <is>
          <t>P1</t>
        </is>
      </c>
      <c r="D101" s="22" t="inlineStr">
        <is>
          <t>WRITE</t>
        </is>
      </c>
      <c r="E101" s="21" t="inlineStr">
        <is>
          <t>Record date required</t>
        </is>
      </c>
      <c r="F101" s="21" t="inlineStr">
        <is>
          <t>Upload with the date blank</t>
        </is>
      </c>
      <c r="G101" s="21" t="inlineStr">
        <is>
          <t>Refused.</t>
        </is>
      </c>
      <c r="H101" s="18" t="n"/>
      <c r="I101" s="19" t="n"/>
      <c r="J101" s="19" t="n"/>
      <c r="K101" s="19" t="n"/>
      <c r="L101" s="19" t="n"/>
    </row>
    <row r="102" ht="30" customHeight="1">
      <c r="A102" s="16" t="inlineStr">
        <is>
          <t>MR-004</t>
        </is>
      </c>
      <c r="B102" s="6" t="inlineStr">
        <is>
          <t>Medical records</t>
        </is>
      </c>
      <c r="C102" s="17" t="inlineStr">
        <is>
          <t>P1</t>
        </is>
      </c>
      <c r="D102" s="17" t="inlineStr">
        <is>
          <t>WRITE</t>
        </is>
      </c>
      <c r="E102" s="6" t="inlineStr">
        <is>
          <t>Contents decide the type</t>
        </is>
      </c>
      <c r="F102" s="6" t="inlineStr">
        <is>
          <t>Rename an .exe to .pdf and upload</t>
        </is>
      </c>
      <c r="G102" s="6" t="inlineStr">
        <is>
          <t>Refused — the file's bytes are checked, not its name.</t>
        </is>
      </c>
      <c r="H102" s="18" t="n"/>
      <c r="I102" s="19" t="n"/>
      <c r="J102" s="19" t="n"/>
      <c r="K102" s="19" t="n"/>
      <c r="L102" s="19" t="n"/>
    </row>
    <row r="103" ht="30" customHeight="1">
      <c r="A103" s="20" t="inlineStr">
        <is>
          <t>MR-005</t>
        </is>
      </c>
      <c r="B103" s="21" t="inlineStr">
        <is>
          <t>Medical records</t>
        </is>
      </c>
      <c r="C103" s="22" t="inlineStr">
        <is>
          <t>P1</t>
        </is>
      </c>
      <c r="D103" s="22" t="inlineStr">
        <is>
          <t>WRITE</t>
        </is>
      </c>
      <c r="E103" s="21" t="inlineStr">
        <is>
          <t>Dangerous types refused</t>
        </is>
      </c>
      <c r="F103" s="21" t="inlineStr">
        <is>
          <t>Try .exe, .bat, .js</t>
        </is>
      </c>
      <c r="G103" s="21" t="inlineStr">
        <is>
          <t>Refused.</t>
        </is>
      </c>
      <c r="H103" s="18" t="n"/>
      <c r="I103" s="19" t="n"/>
      <c r="J103" s="19" t="n"/>
      <c r="K103" s="19" t="n"/>
      <c r="L103" s="19" t="n"/>
    </row>
    <row r="104" ht="30" customHeight="1">
      <c r="A104" s="16" t="inlineStr">
        <is>
          <t>MR-006</t>
        </is>
      </c>
      <c r="B104" s="6" t="inlineStr">
        <is>
          <t>Medical records</t>
        </is>
      </c>
      <c r="C104" s="17" t="inlineStr">
        <is>
          <t>P2</t>
        </is>
      </c>
      <c r="D104" s="17" t="inlineStr">
        <is>
          <t>WRITE</t>
        </is>
      </c>
      <c r="E104" s="6" t="inlineStr">
        <is>
          <t>Size limit</t>
        </is>
      </c>
      <c r="F104" s="6" t="inlineStr">
        <is>
          <t>Upload a file over 20 MB</t>
        </is>
      </c>
      <c r="G104" s="6" t="inlineStr">
        <is>
          <t>Refused with a clear message.</t>
        </is>
      </c>
      <c r="H104" s="18" t="n"/>
      <c r="I104" s="19" t="n"/>
      <c r="J104" s="19" t="n"/>
      <c r="K104" s="19" t="n"/>
      <c r="L104" s="19" t="n"/>
    </row>
    <row r="105" ht="30" customHeight="1">
      <c r="A105" s="20" t="inlineStr">
        <is>
          <t>MR-007</t>
        </is>
      </c>
      <c r="B105" s="21" t="inlineStr">
        <is>
          <t>Medical records</t>
        </is>
      </c>
      <c r="C105" s="22" t="inlineStr">
        <is>
          <t>P1</t>
        </is>
      </c>
      <c r="D105" s="22" t="inlineStr">
        <is>
          <t>READ-ONLY</t>
        </is>
      </c>
      <c r="E105" s="21" t="inlineStr">
        <is>
          <t>Uploader identity from the session</t>
        </is>
      </c>
      <c r="F105" s="21" t="inlineStr">
        <is>
          <t>Inspect an uploaded record</t>
        </is>
      </c>
      <c r="G105" s="21" t="inlineStr">
        <is>
          <t>The uploader is the signed-in user; a submitted name is ignored.</t>
        </is>
      </c>
      <c r="H105" s="18" t="n"/>
      <c r="I105" s="19" t="n"/>
      <c r="J105" s="19" t="n"/>
      <c r="K105" s="19" t="n"/>
      <c r="L105" s="19" t="n"/>
    </row>
    <row r="106" ht="30" customHeight="1">
      <c r="A106" s="16" t="inlineStr">
        <is>
          <t>MR-008</t>
        </is>
      </c>
      <c r="B106" s="6" t="inlineStr">
        <is>
          <t>Medical records</t>
        </is>
      </c>
      <c r="C106" s="17" t="inlineStr">
        <is>
          <t>P1</t>
        </is>
      </c>
      <c r="D106" s="17" t="inlineStr">
        <is>
          <t>READ-ONLY</t>
        </is>
      </c>
      <c r="E106" s="6" t="inlineStr">
        <is>
          <t>Cross-patient access refused</t>
        </is>
      </c>
      <c r="F106" s="6" t="inlineStr">
        <is>
          <t>Request a record under a different patient's id</t>
        </is>
      </c>
      <c r="G106" s="6" t="inlineStr">
        <is>
          <t>404. Not the document.</t>
        </is>
      </c>
      <c r="H106" s="18" t="n"/>
      <c r="I106" s="19" t="n"/>
      <c r="J106" s="19" t="n"/>
      <c r="K106" s="19" t="n"/>
      <c r="L106" s="19" t="n"/>
    </row>
    <row r="107" ht="30" customHeight="1">
      <c r="A107" s="20" t="inlineStr">
        <is>
          <t>MR-009</t>
        </is>
      </c>
      <c r="B107" s="21" t="inlineStr">
        <is>
          <t>Medical records</t>
        </is>
      </c>
      <c r="C107" s="22" t="inlineStr">
        <is>
          <t>P1</t>
        </is>
      </c>
      <c r="D107" s="22" t="inlineStr">
        <is>
          <t>READ-ONLY</t>
        </is>
      </c>
      <c r="E107" s="21" t="inlineStr">
        <is>
          <t>Not publicly accessible</t>
        </is>
      </c>
      <c r="F107" s="21" t="inlineStr">
        <is>
          <t>Request the download URL while signed out</t>
        </is>
      </c>
      <c r="G107" s="21" t="inlineStr">
        <is>
          <t>401.</t>
        </is>
      </c>
      <c r="H107" s="18" t="n"/>
      <c r="I107" s="19" t="n"/>
      <c r="J107" s="19" t="n"/>
      <c r="K107" s="19" t="n"/>
      <c r="L107" s="19" t="n"/>
    </row>
    <row r="108" ht="30" customHeight="1">
      <c r="A108" s="16" t="inlineStr">
        <is>
          <t>MR-010</t>
        </is>
      </c>
      <c r="B108" s="6" t="inlineStr">
        <is>
          <t>Medical records</t>
        </is>
      </c>
      <c r="C108" s="17" t="inlineStr">
        <is>
          <t>P2</t>
        </is>
      </c>
      <c r="D108" s="17" t="inlineStr">
        <is>
          <t>READ-ONLY</t>
        </is>
      </c>
      <c r="E108" s="6" t="inlineStr">
        <is>
          <t>Viewer, print, PDF, download</t>
        </is>
      </c>
      <c r="F108" s="6" t="inlineStr">
        <is>
          <t>Open a record and use each action</t>
        </is>
      </c>
      <c r="G108" s="6" t="inlineStr">
        <is>
          <t>All work. Bytes download unmodified.</t>
        </is>
      </c>
      <c r="H108" s="18" t="n"/>
      <c r="I108" s="19" t="n"/>
      <c r="J108" s="19" t="n"/>
      <c r="K108" s="19" t="n"/>
      <c r="L108" s="19" t="n"/>
    </row>
    <row r="109" ht="30" customHeight="1">
      <c r="A109" s="20" t="inlineStr">
        <is>
          <t>MR-011</t>
        </is>
      </c>
      <c r="B109" s="21" t="inlineStr">
        <is>
          <t>Medical records</t>
        </is>
      </c>
      <c r="C109" s="22" t="inlineStr">
        <is>
          <t>P1</t>
        </is>
      </c>
      <c r="D109" s="22" t="inlineStr">
        <is>
          <t>READ-ONLY</t>
        </is>
      </c>
      <c r="E109" s="21" t="inlineStr">
        <is>
          <t>Email refuses honestly</t>
        </is>
      </c>
      <c r="F109" s="21" t="inlineStr">
        <is>
          <t>Email a record with no SMTP configured</t>
        </is>
      </c>
      <c r="G109" s="21" t="inlineStr">
        <is>
          <t>Explicit failure. Never a false "sent".</t>
        </is>
      </c>
      <c r="H109" s="18" t="n"/>
      <c r="I109" s="19" t="n"/>
      <c r="J109" s="19" t="n"/>
      <c r="K109" s="19" t="n"/>
      <c r="L109" s="19" t="n"/>
    </row>
    <row r="110" ht="30" customHeight="1">
      <c r="A110" s="16" t="inlineStr">
        <is>
          <t>MR-012</t>
        </is>
      </c>
      <c r="B110" s="6" t="inlineStr">
        <is>
          <t>Medical records</t>
        </is>
      </c>
      <c r="C110" s="17" t="inlineStr">
        <is>
          <t>P1</t>
        </is>
      </c>
      <c r="D110" s="17" t="inlineStr">
        <is>
          <t>READ-ONLY</t>
        </is>
      </c>
      <c r="E110" s="6" t="inlineStr">
        <is>
          <t>Header injection blocked</t>
        </is>
      </c>
      <c r="F110" s="6" t="inlineStr">
        <is>
          <t>Put \r\nBcc: in the recipient</t>
        </is>
      </c>
      <c r="G110" s="6" t="inlineStr">
        <is>
          <t>Refused.</t>
        </is>
      </c>
      <c r="H110" s="18" t="n"/>
      <c r="I110" s="19" t="n"/>
      <c r="J110" s="19" t="n"/>
      <c r="K110" s="19" t="n"/>
      <c r="L110" s="19" t="n"/>
    </row>
    <row r="111" ht="30" customHeight="1">
      <c r="A111" s="20" t="inlineStr">
        <is>
          <t>MR-013</t>
        </is>
      </c>
      <c r="B111" s="21" t="inlineStr">
        <is>
          <t>Medical records</t>
        </is>
      </c>
      <c r="C111" s="22" t="inlineStr">
        <is>
          <t>P2</t>
        </is>
      </c>
      <c r="D111" s="22" t="inlineStr">
        <is>
          <t>READ-ONLY</t>
        </is>
      </c>
      <c r="E111" s="21" t="inlineStr">
        <is>
          <t>Search and filter</t>
        </is>
      </c>
      <c r="F111" s="21" t="inlineStr">
        <is>
          <t>Filter by name and record type</t>
        </is>
      </c>
      <c r="G111" s="21" t="inlineStr">
        <is>
          <t>Correct subset.</t>
        </is>
      </c>
      <c r="H111" s="18" t="n"/>
      <c r="I111" s="19" t="n"/>
      <c r="J111" s="19" t="n"/>
      <c r="K111" s="19" t="n"/>
      <c r="L111" s="19" t="n"/>
    </row>
    <row r="112" ht="30" customHeight="1">
      <c r="A112" s="16" t="inlineStr">
        <is>
          <t>RX-001</t>
        </is>
      </c>
      <c r="B112" s="6" t="inlineStr">
        <is>
          <t>Prescriptions (Rx)</t>
        </is>
      </c>
      <c r="C112" s="17" t="inlineStr">
        <is>
          <t>P1</t>
        </is>
      </c>
      <c r="D112" s="17" t="inlineStr">
        <is>
          <t>READ-ONLY</t>
        </is>
      </c>
      <c r="E112" s="6" t="inlineStr">
        <is>
          <t>Permission ≠ licence to prescribe</t>
        </is>
      </c>
      <c r="F112" s="6" t="inlineStr">
        <is>
          <t>Check prescriber status as an admin holding every permission</t>
        </is>
      </c>
      <c r="G112" s="6" t="inlineStr">
        <is>
          <t>Not a prescriber unless a verified prescriber profile exists. A reason is given.</t>
        </is>
      </c>
      <c r="H112" s="18" t="n"/>
      <c r="I112" s="19" t="n"/>
      <c r="J112" s="19" t="n"/>
      <c r="K112" s="19" t="n"/>
      <c r="L112" s="19" t="n"/>
    </row>
    <row r="113" ht="30" customHeight="1">
      <c r="A113" s="20" t="inlineStr">
        <is>
          <t>RX-002</t>
        </is>
      </c>
      <c r="B113" s="21" t="inlineStr">
        <is>
          <t>Prescriptions (Rx)</t>
        </is>
      </c>
      <c r="C113" s="22" t="inlineStr">
        <is>
          <t>P1</t>
        </is>
      </c>
      <c r="D113" s="22" t="inlineStr">
        <is>
          <t>WRITE</t>
        </is>
      </c>
      <c r="E113" s="21" t="inlineStr">
        <is>
          <t>Draft a prescription</t>
        </is>
      </c>
      <c r="F113" s="21" t="inlineStr">
        <is>
          <t>Enter medication, strength, dose, route, frequency, quantity, SIG</t>
        </is>
      </c>
      <c r="G113" s="21" t="inlineStr">
        <is>
          <t>Saved as DRAFT.</t>
        </is>
      </c>
      <c r="H113" s="18" t="n"/>
      <c r="I113" s="19" t="n"/>
      <c r="J113" s="19" t="n"/>
      <c r="K113" s="19" t="n"/>
      <c r="L113" s="19" t="n"/>
    </row>
    <row r="114" ht="30" customHeight="1">
      <c r="A114" s="16" t="inlineStr">
        <is>
          <t>RX-003</t>
        </is>
      </c>
      <c r="B114" s="6" t="inlineStr">
        <is>
          <t>Prescriptions (Rx)</t>
        </is>
      </c>
      <c r="C114" s="17" t="inlineStr">
        <is>
          <t>P1</t>
        </is>
      </c>
      <c r="D114" s="17" t="inlineStr">
        <is>
          <t>WRITE</t>
        </is>
      </c>
      <c r="E114" s="6" t="inlineStr">
        <is>
          <t>Submitted prescriber ignored</t>
        </is>
      </c>
      <c r="F114" s="6" t="inlineStr">
        <is>
          <t>Send a different prescriber NPI in the request</t>
        </is>
      </c>
      <c r="G114" s="6" t="inlineStr">
        <is>
          <t>Ignored; the verified profile's NPI is used.</t>
        </is>
      </c>
      <c r="H114" s="18" t="n"/>
      <c r="I114" s="19" t="n"/>
      <c r="J114" s="19" t="n"/>
      <c r="K114" s="19" t="n"/>
      <c r="L114" s="19" t="n"/>
    </row>
    <row r="115" ht="30" customHeight="1">
      <c r="A115" s="20" t="inlineStr">
        <is>
          <t>RX-004</t>
        </is>
      </c>
      <c r="B115" s="21" t="inlineStr">
        <is>
          <t>Prescriptions (Rx)</t>
        </is>
      </c>
      <c r="C115" s="22" t="inlineStr">
        <is>
          <t>P1</t>
        </is>
      </c>
      <c r="D115" s="22" t="inlineStr">
        <is>
          <t>WRITE</t>
        </is>
      </c>
      <c r="E115" s="21" t="inlineStr">
        <is>
          <t>Signing needs verification</t>
        </is>
      </c>
      <c r="F115" s="21" t="inlineStr">
        <is>
          <t>Sign without a verified profile</t>
        </is>
      </c>
      <c r="G115" s="21" t="inlineStr">
        <is>
          <t>Refused, with the reason.</t>
        </is>
      </c>
      <c r="H115" s="18" t="n"/>
      <c r="I115" s="19" t="n"/>
      <c r="J115" s="19" t="n"/>
      <c r="K115" s="19" t="n"/>
      <c r="L115" s="19" t="n"/>
    </row>
    <row r="116" ht="30" customHeight="1">
      <c r="A116" s="16" t="inlineStr">
        <is>
          <t>RX-005</t>
        </is>
      </c>
      <c r="B116" s="6" t="inlineStr">
        <is>
          <t>Prescriptions (Rx)</t>
        </is>
      </c>
      <c r="C116" s="17" t="inlineStr">
        <is>
          <t>P1</t>
        </is>
      </c>
      <c r="D116" s="17" t="inlineStr">
        <is>
          <t>WRITE</t>
        </is>
      </c>
      <c r="E116" s="6" t="inlineStr">
        <is>
          <t>Signed prescription is immutable</t>
        </is>
      </c>
      <c r="F116" s="6" t="inlineStr">
        <is>
          <t>Edit after signing</t>
        </is>
      </c>
      <c r="G116" s="6" t="inlineStr">
        <is>
          <t>Refused.</t>
        </is>
      </c>
      <c r="H116" s="18" t="n"/>
      <c r="I116" s="19" t="n"/>
      <c r="J116" s="19" t="n"/>
      <c r="K116" s="19" t="n"/>
      <c r="L116" s="19" t="n"/>
    </row>
    <row r="117" ht="30" customHeight="1">
      <c r="A117" s="20" t="inlineStr">
        <is>
          <t>RX-006</t>
        </is>
      </c>
      <c r="B117" s="21" t="inlineStr">
        <is>
          <t>Prescriptions (Rx)</t>
        </is>
      </c>
      <c r="C117" s="22" t="inlineStr">
        <is>
          <t>P1</t>
        </is>
      </c>
      <c r="D117" s="22" t="inlineStr">
        <is>
          <t>READ-ONLY</t>
        </is>
      </c>
      <c r="E117" s="21" t="inlineStr">
        <is>
          <t>Transmission refuses honestly</t>
        </is>
      </c>
      <c r="F117" s="21" t="inlineStr">
        <is>
          <t>Send with no provider configured</t>
        </is>
      </c>
      <c r="G117" s="21" t="inlineStr">
        <is>
          <t>Fails explicitly, recorded as FAILED. Never ACCEPTED.</t>
        </is>
      </c>
      <c r="H117" s="18" t="n"/>
      <c r="I117" s="19" t="n"/>
      <c r="J117" s="19" t="n"/>
      <c r="K117" s="19" t="n"/>
      <c r="L117" s="19" t="n"/>
    </row>
    <row r="118" ht="30" customHeight="1">
      <c r="A118" s="16" t="inlineStr">
        <is>
          <t>RX-007</t>
        </is>
      </c>
      <c r="B118" s="6" t="inlineStr">
        <is>
          <t>Prescriptions (Rx)</t>
        </is>
      </c>
      <c r="C118" s="17" t="inlineStr">
        <is>
          <t>P1</t>
        </is>
      </c>
      <c r="D118" s="17" t="inlineStr">
        <is>
          <t>WRITE</t>
        </is>
      </c>
      <c r="E118" s="6" t="inlineStr">
        <is>
          <t>Controlled substances refused</t>
        </is>
      </c>
      <c r="F118" s="6" t="inlineStr">
        <is>
          <t>Sign a controlled prescription</t>
        </is>
      </c>
      <c r="G118" s="6" t="inlineStr">
        <is>
          <t>Refused, naming EPCS as the requirement.</t>
        </is>
      </c>
      <c r="H118" s="18" t="n"/>
      <c r="I118" s="19" t="n"/>
      <c r="J118" s="19" t="n"/>
      <c r="K118" s="19" t="n"/>
      <c r="L118" s="19" t="n"/>
    </row>
    <row r="119" ht="30" customHeight="1">
      <c r="A119" s="20" t="inlineStr">
        <is>
          <t>RX-008</t>
        </is>
      </c>
      <c r="B119" s="21" t="inlineStr">
        <is>
          <t>Prescriptions (Rx)</t>
        </is>
      </c>
      <c r="C119" s="22" t="inlineStr">
        <is>
          <t>P1</t>
        </is>
      </c>
      <c r="D119" s="22" t="inlineStr">
        <is>
          <t>READ-ONLY</t>
        </is>
      </c>
      <c r="E119" s="21" t="inlineStr">
        <is>
          <t>No invented clinical advice</t>
        </is>
      </c>
      <c r="F119" s="21" t="inlineStr">
        <is>
          <t>Review the whole Rx flow</t>
        </is>
      </c>
      <c r="G119" s="21" t="inlineStr">
        <is>
          <t>No dose suggestion, interaction warning, or allergy check — the app has no drug database.</t>
        </is>
      </c>
      <c r="H119" s="18" t="n"/>
      <c r="I119" s="19" t="n"/>
      <c r="J119" s="19" t="n"/>
      <c r="K119" s="19" t="n"/>
      <c r="L119" s="19" t="n"/>
    </row>
    <row r="120" ht="30" customHeight="1">
      <c r="A120" s="16" t="inlineStr">
        <is>
          <t>RX-009</t>
        </is>
      </c>
      <c r="B120" s="6" t="inlineStr">
        <is>
          <t>Prescriptions (Rx)</t>
        </is>
      </c>
      <c r="C120" s="17" t="inlineStr">
        <is>
          <t>P2</t>
        </is>
      </c>
      <c r="D120" s="17" t="inlineStr">
        <is>
          <t>READ-ONLY</t>
        </is>
      </c>
      <c r="E120" s="6" t="inlineStr">
        <is>
          <t>Pharmacy transmittability</t>
        </is>
      </c>
      <c r="F120" s="6" t="inlineStr">
        <is>
          <t>Review a hand-typed pharmacy</t>
        </is>
      </c>
      <c r="G120" s="6" t="inlineStr">
        <is>
          <t>Marked as not transmittable — it has no NCPDP id.</t>
        </is>
      </c>
      <c r="H120" s="18" t="n"/>
      <c r="I120" s="19" t="n"/>
      <c r="J120" s="19" t="n"/>
      <c r="K120" s="19" t="n"/>
      <c r="L120" s="19" t="n"/>
    </row>
    <row r="121" ht="30" customHeight="1">
      <c r="A121" s="20" t="inlineStr">
        <is>
          <t>RX-010</t>
        </is>
      </c>
      <c r="B121" s="21" t="inlineStr">
        <is>
          <t>Prescriptions (Rx)</t>
        </is>
      </c>
      <c r="C121" s="22" t="inlineStr">
        <is>
          <t>P2</t>
        </is>
      </c>
      <c r="D121" s="22" t="inlineStr">
        <is>
          <t>WRITE</t>
        </is>
      </c>
      <c r="E121" s="21" t="inlineStr">
        <is>
          <t>History preserved</t>
        </is>
      </c>
      <c r="F121" s="21" t="inlineStr">
        <is>
          <t>Draft, sign, attempt send, cancel</t>
        </is>
      </c>
      <c r="G121" s="21" t="inlineStr">
        <is>
          <t>Every status change retained.</t>
        </is>
      </c>
      <c r="H121" s="18" t="n"/>
      <c r="I121" s="19" t="n"/>
      <c r="J121" s="19" t="n"/>
      <c r="K121" s="19" t="n"/>
      <c r="L121" s="19" t="n"/>
    </row>
    <row r="122" ht="30" customHeight="1">
      <c r="A122" s="16" t="inlineStr">
        <is>
          <t>RPT-001</t>
        </is>
      </c>
      <c r="B122" s="6" t="inlineStr">
        <is>
          <t>Reports, backup, and audit</t>
        </is>
      </c>
      <c r="C122" s="17" t="inlineStr">
        <is>
          <t>P2</t>
        </is>
      </c>
      <c r="D122" s="17" t="inlineStr">
        <is>
          <t>READ-ONLY</t>
        </is>
      </c>
      <c r="E122" s="6" t="inlineStr">
        <is>
          <t>Reports render</t>
        </is>
      </c>
      <c r="F122" s="6" t="inlineStr">
        <is>
          <t>Open each report view</t>
        </is>
      </c>
      <c r="G122" s="6" t="inlineStr">
        <is>
          <t>Renders without NaN, undefined, or a crash.</t>
        </is>
      </c>
      <c r="H122" s="18" t="n"/>
      <c r="I122" s="19" t="n"/>
      <c r="J122" s="19" t="n"/>
      <c r="K122" s="19" t="n"/>
      <c r="L122" s="19" t="n"/>
    </row>
    <row r="123" ht="30" customHeight="1">
      <c r="A123" s="20" t="inlineStr">
        <is>
          <t>RPT-002</t>
        </is>
      </c>
      <c r="B123" s="21" t="inlineStr">
        <is>
          <t>Reports, backup, and audit</t>
        </is>
      </c>
      <c r="C123" s="22" t="inlineStr">
        <is>
          <t>P1</t>
        </is>
      </c>
      <c r="D123" s="22" t="inlineStr">
        <is>
          <t>READ-ONLY</t>
        </is>
      </c>
      <c r="E123" s="21" t="inlineStr">
        <is>
          <t>Figures reconcile</t>
        </is>
      </c>
      <c r="F123" s="21" t="inlineStr">
        <is>
          <t>Compare a revenue report with the ledger</t>
        </is>
      </c>
      <c r="G123" s="21" t="inlineStr">
        <is>
          <t>Totals agree.</t>
        </is>
      </c>
      <c r="H123" s="18" t="n"/>
      <c r="I123" s="19" t="n"/>
      <c r="J123" s="19" t="n"/>
      <c r="K123" s="19" t="n"/>
      <c r="L123" s="19" t="n"/>
    </row>
    <row r="124" ht="30" customHeight="1">
      <c r="A124" s="16" t="inlineStr">
        <is>
          <t>RPT-003</t>
        </is>
      </c>
      <c r="B124" s="6" t="inlineStr">
        <is>
          <t>Reports, backup, and audit</t>
        </is>
      </c>
      <c r="C124" s="17" t="inlineStr">
        <is>
          <t>P2</t>
        </is>
      </c>
      <c r="D124" s="17" t="inlineStr">
        <is>
          <t>READ-ONLY</t>
        </is>
      </c>
      <c r="E124" s="6" t="inlineStr">
        <is>
          <t>Date ranges</t>
        </is>
      </c>
      <c r="F124" s="6" t="inlineStr">
        <is>
          <t>Apply a range with no data</t>
        </is>
      </c>
      <c r="G124" s="6" t="inlineStr">
        <is>
          <t>Empty state, not an error.</t>
        </is>
      </c>
      <c r="H124" s="18" t="n"/>
      <c r="I124" s="19" t="n"/>
      <c r="J124" s="19" t="n"/>
      <c r="K124" s="19" t="n"/>
      <c r="L124" s="19" t="n"/>
    </row>
    <row r="125" ht="30" customHeight="1">
      <c r="A125" s="20" t="inlineStr">
        <is>
          <t>BAK-001</t>
        </is>
      </c>
      <c r="B125" s="21" t="inlineStr">
        <is>
          <t>Reports, backup, and audit</t>
        </is>
      </c>
      <c r="C125" s="22" t="inlineStr">
        <is>
          <t>P1</t>
        </is>
      </c>
      <c r="D125" s="22" t="inlineStr">
        <is>
          <t>WRITE</t>
        </is>
      </c>
      <c r="E125" s="21" t="inlineStr">
        <is>
          <t>Create a backup</t>
        </is>
      </c>
      <c r="F125" s="21" t="inlineStr">
        <is>
          <t>Create one</t>
        </is>
      </c>
      <c r="G125" s="21" t="inlineStr">
        <is>
          <t>Produced, with a non-zero size.</t>
        </is>
      </c>
      <c r="H125" s="18" t="n"/>
      <c r="I125" s="19" t="n"/>
      <c r="J125" s="19" t="n"/>
      <c r="K125" s="19" t="n"/>
      <c r="L125" s="19" t="n"/>
    </row>
    <row r="126" ht="30" customHeight="1">
      <c r="A126" s="16" t="inlineStr">
        <is>
          <t>BAK-002</t>
        </is>
      </c>
      <c r="B126" s="6" t="inlineStr">
        <is>
          <t>Reports, backup, and audit</t>
        </is>
      </c>
      <c r="C126" s="17" t="inlineStr">
        <is>
          <t>P1</t>
        </is>
      </c>
      <c r="D126" s="17" t="inlineStr">
        <is>
          <t>READ-ONLY</t>
        </is>
      </c>
      <c r="E126" s="6" t="inlineStr">
        <is>
          <t>Size is shown</t>
        </is>
      </c>
      <c r="F126" s="6" t="inlineStr">
        <is>
          <t>Review the backup list</t>
        </is>
      </c>
      <c r="G126" s="6" t="inlineStr">
        <is>
          <t>Size displayed — a 0-byte backup must be obvious.</t>
        </is>
      </c>
      <c r="H126" s="18" t="n"/>
      <c r="I126" s="19" t="n"/>
      <c r="J126" s="19" t="n"/>
      <c r="K126" s="19" t="n"/>
      <c r="L126" s="19" t="n"/>
    </row>
    <row r="127" ht="30" customHeight="1">
      <c r="A127" s="20" t="inlineStr">
        <is>
          <t>BAK-003</t>
        </is>
      </c>
      <c r="B127" s="21" t="inlineStr">
        <is>
          <t>Reports, backup, and audit</t>
        </is>
      </c>
      <c r="C127" s="22" t="inlineStr">
        <is>
          <t>P1</t>
        </is>
      </c>
      <c r="D127" s="22" t="inlineStr">
        <is>
          <t>WRITE</t>
        </is>
      </c>
      <c r="E127" s="21" t="inlineStr">
        <is>
          <t>Restore into a test instance</t>
        </is>
      </c>
      <c r="F127" s="21" t="inlineStr">
        <is>
          <t>Restore a dump on a local instance</t>
        </is>
      </c>
      <c r="G127" s="21" t="inlineStr">
        <is>
          <t>Data restored intact. Never test restore on production.</t>
        </is>
      </c>
      <c r="H127" s="18" t="n"/>
      <c r="I127" s="19" t="n"/>
      <c r="J127" s="19" t="n"/>
      <c r="K127" s="19" t="n"/>
      <c r="L127" s="19" t="n"/>
    </row>
    <row r="128" ht="30" customHeight="1">
      <c r="A128" s="16" t="inlineStr">
        <is>
          <t>BAK-004</t>
        </is>
      </c>
      <c r="B128" s="6" t="inlineStr">
        <is>
          <t>Reports, backup, and audit</t>
        </is>
      </c>
      <c r="C128" s="17" t="inlineStr">
        <is>
          <t>P1</t>
        </is>
      </c>
      <c r="D128" s="17" t="inlineStr">
        <is>
          <t>READ-ONLY</t>
        </is>
      </c>
      <c r="E128" s="6" t="inlineStr">
        <is>
          <t>Restore is permission-gated</t>
        </is>
      </c>
      <c r="F128" s="6" t="inlineStr">
        <is>
          <t>Attempt restore without the grant</t>
        </is>
      </c>
      <c r="G128" s="6" t="inlineStr">
        <is>
          <t>Refused server-side.</t>
        </is>
      </c>
      <c r="H128" s="18" t="n"/>
      <c r="I128" s="19" t="n"/>
      <c r="J128" s="19" t="n"/>
      <c r="K128" s="19" t="n"/>
      <c r="L128" s="19" t="n"/>
    </row>
    <row r="129" ht="30" customHeight="1">
      <c r="A129" s="20" t="inlineStr">
        <is>
          <t>AUD-001</t>
        </is>
      </c>
      <c r="B129" s="21" t="inlineStr">
        <is>
          <t>Reports, backup, and audit</t>
        </is>
      </c>
      <c r="C129" s="22" t="inlineStr">
        <is>
          <t>P1</t>
        </is>
      </c>
      <c r="D129" s="22" t="inlineStr">
        <is>
          <t>READ-ONLY</t>
        </is>
      </c>
      <c r="E129" s="21" t="inlineStr">
        <is>
          <t>Actions are audited</t>
        </is>
      </c>
      <c r="F129" s="21" t="inlineStr">
        <is>
          <t>Perform a validate, a print, a grant change</t>
        </is>
      </c>
      <c r="G129" s="21" t="inlineStr">
        <is>
          <t>All recorded with user, entity, timestamp.</t>
        </is>
      </c>
      <c r="H129" s="18" t="n"/>
      <c r="I129" s="19" t="n"/>
      <c r="J129" s="19" t="n"/>
      <c r="K129" s="19" t="n"/>
      <c r="L129" s="19" t="n"/>
    </row>
    <row r="130" ht="30" customHeight="1">
      <c r="A130" s="16" t="inlineStr">
        <is>
          <t>AUD-002</t>
        </is>
      </c>
      <c r="B130" s="6" t="inlineStr">
        <is>
          <t>Reports, backup, and audit</t>
        </is>
      </c>
      <c r="C130" s="17" t="inlineStr">
        <is>
          <t>P1</t>
        </is>
      </c>
      <c r="D130" s="17" t="inlineStr">
        <is>
          <t>READ-ONLY</t>
        </is>
      </c>
      <c r="E130" s="6" t="inlineStr">
        <is>
          <t>No unnecessary PHI in logs</t>
        </is>
      </c>
      <c r="F130" s="6" t="inlineStr">
        <is>
          <t>Review audit entries and server logs</t>
        </is>
      </c>
      <c r="G130" s="6" t="inlineStr">
        <is>
          <t>No diagnosis codes, no prescription content, no passwords, no MFA codes.</t>
        </is>
      </c>
      <c r="H130" s="18" t="n"/>
      <c r="I130" s="19" t="n"/>
      <c r="J130" s="19" t="n"/>
      <c r="K130" s="19" t="n"/>
      <c r="L130" s="19" t="n"/>
    </row>
    <row r="131" ht="30" customHeight="1">
      <c r="A131" s="20" t="inlineStr">
        <is>
          <t>DEMO-001</t>
        </is>
      </c>
      <c r="B131" s="21" t="inlineStr">
        <is>
          <t>Demo account</t>
        </is>
      </c>
      <c r="C131" s="22" t="inlineStr">
        <is>
          <t>P2</t>
        </is>
      </c>
      <c r="D131" s="22" t="inlineStr">
        <is>
          <t>READ-ONLY</t>
        </is>
      </c>
      <c r="E131" s="21" t="inlineStr">
        <is>
          <t>Credentials shown when enabled</t>
        </is>
      </c>
      <c r="F131" s="21" t="inlineStr">
        <is>
          <t>Open the sign-in screen</t>
        </is>
      </c>
      <c r="G131" s="21" t="inlineStr">
        <is>
          <t>Demo username and password displayed with a copy control.</t>
        </is>
      </c>
      <c r="H131" s="18" t="n"/>
      <c r="I131" s="19" t="n"/>
      <c r="J131" s="19" t="n"/>
      <c r="K131" s="19" t="n"/>
      <c r="L131" s="19" t="n"/>
    </row>
    <row r="132" ht="30" customHeight="1">
      <c r="A132" s="16" t="inlineStr">
        <is>
          <t>DEMO-002</t>
        </is>
      </c>
      <c r="B132" s="6" t="inlineStr">
        <is>
          <t>Demo account</t>
        </is>
      </c>
      <c r="C132" s="17" t="inlineStr">
        <is>
          <t>P2</t>
        </is>
      </c>
      <c r="D132" s="17" t="inlineStr">
        <is>
          <t>READ-ONLY</t>
        </is>
      </c>
      <c r="E132" s="6" t="inlineStr">
        <is>
          <t>Signs in without MFA</t>
        </is>
      </c>
      <c r="F132" s="6" t="inlineStr">
        <is>
          <t>Use the demo account</t>
        </is>
      </c>
      <c r="G132" s="6" t="inlineStr">
        <is>
          <t>Signs in — a published account cannot be behind an authenticator nobody has.</t>
        </is>
      </c>
      <c r="H132" s="18" t="n"/>
      <c r="I132" s="19" t="n"/>
      <c r="J132" s="19" t="n"/>
      <c r="K132" s="19" t="n"/>
      <c r="L132" s="19" t="n"/>
    </row>
    <row r="133" ht="30" customHeight="1">
      <c r="A133" s="20" t="inlineStr">
        <is>
          <t>DEMO-003</t>
        </is>
      </c>
      <c r="B133" s="21" t="inlineStr">
        <is>
          <t>Demo account</t>
        </is>
      </c>
      <c r="C133" s="22" t="inlineStr">
        <is>
          <t>P1</t>
        </is>
      </c>
      <c r="D133" s="22" t="inlineStr">
        <is>
          <t>READ-ONLY</t>
        </is>
      </c>
      <c r="E133" s="21" t="inlineStr">
        <is>
          <t>No real PHI exposed</t>
        </is>
      </c>
      <c r="F133" s="21" t="inlineStr">
        <is>
          <t>Browse every screen as the demo user</t>
        </is>
      </c>
      <c r="G133" s="21" t="inlineStr">
        <is>
          <t>No real patient records, labs, or documents are reachable.</t>
        </is>
      </c>
      <c r="H133" s="18" t="n"/>
      <c r="I133" s="19" t="n"/>
      <c r="J133" s="19" t="n"/>
      <c r="K133" s="19" t="n"/>
      <c r="L133" s="19" t="n"/>
    </row>
    <row r="134" ht="30" customHeight="1">
      <c r="A134" s="16" t="inlineStr">
        <is>
          <t>DEMO-004</t>
        </is>
      </c>
      <c r="B134" s="6" t="inlineStr">
        <is>
          <t>Demo account</t>
        </is>
      </c>
      <c r="C134" s="17" t="inlineStr">
        <is>
          <t>P1</t>
        </is>
      </c>
      <c r="D134" s="17" t="inlineStr">
        <is>
          <t>READ-ONLY</t>
        </is>
      </c>
      <c r="E134" s="6" t="inlineStr">
        <is>
          <t>Demo cannot destroy data</t>
        </is>
      </c>
      <c r="F134" s="6" t="inlineStr">
        <is>
          <t>Attempt backup restore and deletions</t>
        </is>
      </c>
      <c r="G134" s="6" t="inlineStr">
        <is>
          <t>Refused.</t>
        </is>
      </c>
      <c r="H134" s="18" t="n"/>
      <c r="I134" s="19" t="n"/>
      <c r="J134" s="19" t="n"/>
      <c r="K134" s="19" t="n"/>
      <c r="L134" s="19" t="n"/>
    </row>
    <row r="135" ht="30" customHeight="1">
      <c r="A135" s="20" t="inlineStr">
        <is>
          <t>DEMO-005</t>
        </is>
      </c>
      <c r="B135" s="21" t="inlineStr">
        <is>
          <t>Demo account</t>
        </is>
      </c>
      <c r="C135" s="22" t="inlineStr">
        <is>
          <t>P2</t>
        </is>
      </c>
      <c r="D135" s="22" t="inlineStr">
        <is>
          <t>READ-ONLY</t>
        </is>
      </c>
      <c r="E135" s="21" t="inlineStr">
        <is>
          <t>Session is labelled</t>
        </is>
      </c>
      <c r="F135" s="21" t="inlineStr">
        <is>
          <t>Look at the header</t>
        </is>
      </c>
      <c r="G135" s="21" t="inlineStr">
        <is>
          <t>The session is visibly marked as a demo.</t>
        </is>
      </c>
      <c r="H135" s="18" t="n"/>
      <c r="I135" s="19" t="n"/>
      <c r="J135" s="19" t="n"/>
      <c r="K135" s="19" t="n"/>
      <c r="L135" s="19" t="n"/>
    </row>
    <row r="136" ht="30" customHeight="1">
      <c r="A136" s="16" t="inlineStr">
        <is>
          <t>A11Y-001</t>
        </is>
      </c>
      <c r="B136" s="6" t="inlineStr">
        <is>
          <t>Accessibility</t>
        </is>
      </c>
      <c r="C136" s="17" t="inlineStr">
        <is>
          <t>P2</t>
        </is>
      </c>
      <c r="D136" s="17" t="inlineStr">
        <is>
          <t>READ-ONLY</t>
        </is>
      </c>
      <c r="E136" s="6" t="inlineStr">
        <is>
          <t>Keyboard-only sign-in</t>
        </is>
      </c>
      <c r="F136" s="6" t="inlineStr">
        <is>
          <t>Tab to each field and submit with Enter</t>
        </is>
      </c>
      <c r="G136" s="6" t="inlineStr">
        <is>
          <t>Reachable in a logical order; focus is visible.</t>
        </is>
      </c>
      <c r="H136" s="18" t="n"/>
      <c r="I136" s="19" t="n"/>
      <c r="J136" s="19" t="n"/>
      <c r="K136" s="19" t="n"/>
      <c r="L136" s="19" t="n"/>
    </row>
    <row r="137" ht="30" customHeight="1">
      <c r="A137" s="20" t="inlineStr">
        <is>
          <t>A11Y-002</t>
        </is>
      </c>
      <c r="B137" s="21" t="inlineStr">
        <is>
          <t>Accessibility</t>
        </is>
      </c>
      <c r="C137" s="22" t="inlineStr">
        <is>
          <t>P2</t>
        </is>
      </c>
      <c r="D137" s="22" t="inlineStr">
        <is>
          <t>READ-ONLY</t>
        </is>
      </c>
      <c r="E137" s="21" t="inlineStr">
        <is>
          <t>Password field has an accessible name</t>
        </is>
      </c>
      <c r="F137" s="21" t="inlineStr">
        <is>
          <t>Inspect the password input's accessible name</t>
        </is>
      </c>
      <c r="G137" s="21" t="inlineStr">
        <is>
          <t>KNOWN DEFECT. Its &lt;label&gt; wraps both the input and the Show button, so implicit association does not apply and the input has no accessible name. Fix: add id/for, or aria-label.</t>
        </is>
      </c>
      <c r="H137" s="18" t="n"/>
      <c r="I137" s="19" t="n"/>
      <c r="J137" s="19" t="n"/>
      <c r="K137" s="19" t="n"/>
      <c r="L137" s="19" t="n"/>
    </row>
    <row r="138" ht="30" customHeight="1">
      <c r="A138" s="16" t="inlineStr">
        <is>
          <t>A11Y-003</t>
        </is>
      </c>
      <c r="B138" s="6" t="inlineStr">
        <is>
          <t>Accessibility</t>
        </is>
      </c>
      <c r="C138" s="17" t="inlineStr">
        <is>
          <t>P2</t>
        </is>
      </c>
      <c r="D138" s="17" t="inlineStr">
        <is>
          <t>READ-ONLY</t>
        </is>
      </c>
      <c r="E138" s="6" t="inlineStr">
        <is>
          <t>Keyboard navigation of tabs</t>
        </is>
      </c>
      <c r="F138" s="6" t="inlineStr">
        <is>
          <t>Tab through the navigation</t>
        </is>
      </c>
      <c r="G138" s="6" t="inlineStr">
        <is>
          <t>All tabs reachable and activatable by keyboard.</t>
        </is>
      </c>
      <c r="H138" s="18" t="n"/>
      <c r="I138" s="19" t="n"/>
      <c r="J138" s="19" t="n"/>
      <c r="K138" s="19" t="n"/>
      <c r="L138" s="19" t="n"/>
    </row>
    <row r="139" ht="30" customHeight="1">
      <c r="A139" s="20" t="inlineStr">
        <is>
          <t>A11Y-004</t>
        </is>
      </c>
      <c r="B139" s="21" t="inlineStr">
        <is>
          <t>Accessibility</t>
        </is>
      </c>
      <c r="C139" s="22" t="inlineStr">
        <is>
          <t>P3</t>
        </is>
      </c>
      <c r="D139" s="22" t="inlineStr">
        <is>
          <t>READ-ONLY</t>
        </is>
      </c>
      <c r="E139" s="21" t="inlineStr">
        <is>
          <t>Status pill contrast</t>
        </is>
      </c>
      <c r="F139" s="21" t="inlineStr">
        <is>
          <t>Check status pills against WCAG AA</t>
        </is>
      </c>
      <c r="G139" s="21" t="inlineStr">
        <is>
          <t>4.5:1 for normal text.</t>
        </is>
      </c>
      <c r="H139" s="18" t="n"/>
      <c r="I139" s="19" t="n"/>
      <c r="J139" s="19" t="n"/>
      <c r="K139" s="19" t="n"/>
      <c r="L139" s="19" t="n"/>
    </row>
    <row r="140" ht="30" customHeight="1">
      <c r="A140" s="16" t="inlineStr">
        <is>
          <t>A11Y-005</t>
        </is>
      </c>
      <c r="B140" s="6" t="inlineStr">
        <is>
          <t>Accessibility</t>
        </is>
      </c>
      <c r="C140" s="17" t="inlineStr">
        <is>
          <t>P3</t>
        </is>
      </c>
      <c r="D140" s="17" t="inlineStr">
        <is>
          <t>READ-ONLY</t>
        </is>
      </c>
      <c r="E140" s="6" t="inlineStr">
        <is>
          <t>Modal focus trapping</t>
        </is>
      </c>
      <c r="F140" s="6" t="inlineStr">
        <is>
          <t>Open the HCFA modal and Tab</t>
        </is>
      </c>
      <c r="G140" s="6" t="inlineStr">
        <is>
          <t>Focus stays within the modal; Escape closes it.</t>
        </is>
      </c>
      <c r="H140" s="18" t="n"/>
      <c r="I140" s="19" t="n"/>
      <c r="J140" s="19" t="n"/>
      <c r="K140" s="19" t="n"/>
      <c r="L140" s="19" t="n"/>
    </row>
    <row r="141" ht="30" customHeight="1">
      <c r="A141" s="20" t="inlineStr">
        <is>
          <t>A11Y-006</t>
        </is>
      </c>
      <c r="B141" s="21" t="inlineStr">
        <is>
          <t>Accessibility</t>
        </is>
      </c>
      <c r="C141" s="22" t="inlineStr">
        <is>
          <t>P2</t>
        </is>
      </c>
      <c r="D141" s="22" t="inlineStr">
        <is>
          <t>READ-ONLY</t>
        </is>
      </c>
      <c r="E141" s="21" t="inlineStr">
        <is>
          <t>Errors announced</t>
        </is>
      </c>
      <c r="F141" s="21" t="inlineStr">
        <is>
          <t>Trigger a validation error with a screen reader</t>
        </is>
      </c>
      <c r="G141" s="21" t="inlineStr">
        <is>
          <t>The message is announced, not only shown in colour.</t>
        </is>
      </c>
      <c r="H141" s="18" t="n"/>
      <c r="I141" s="19" t="n"/>
      <c r="J141" s="19" t="n"/>
      <c r="K141" s="19" t="n"/>
      <c r="L141" s="19" t="n"/>
    </row>
    <row r="142" ht="30" customHeight="1">
      <c r="A142" s="16" t="inlineStr">
        <is>
          <t>CB-001</t>
        </is>
      </c>
      <c r="B142" s="6" t="inlineStr">
        <is>
          <t>Cross-browser and responsive</t>
        </is>
      </c>
      <c r="C142" s="17" t="inlineStr">
        <is>
          <t>P2</t>
        </is>
      </c>
      <c r="D142" s="17" t="inlineStr">
        <is>
          <t>READ-ONLY</t>
        </is>
      </c>
      <c r="E142" s="6" t="inlineStr">
        <is>
          <t>Chrome / Edge</t>
        </is>
      </c>
      <c r="F142" s="6" t="inlineStr"/>
      <c r="G142" s="6" t="inlineStr">
        <is>
          <t>Full functionality.</t>
        </is>
      </c>
      <c r="H142" s="18" t="n"/>
      <c r="I142" s="19" t="n"/>
      <c r="J142" s="19" t="n"/>
      <c r="K142" s="19" t="n"/>
      <c r="L142" s="19" t="n"/>
    </row>
    <row r="143" ht="30" customHeight="1">
      <c r="A143" s="20" t="inlineStr">
        <is>
          <t>CB-002</t>
        </is>
      </c>
      <c r="B143" s="21" t="inlineStr">
        <is>
          <t>Cross-browser and responsive</t>
        </is>
      </c>
      <c r="C143" s="22" t="inlineStr">
        <is>
          <t>P2</t>
        </is>
      </c>
      <c r="D143" s="22" t="inlineStr">
        <is>
          <t>READ-ONLY</t>
        </is>
      </c>
      <c r="E143" s="21" t="inlineStr">
        <is>
          <t>Firefox</t>
        </is>
      </c>
      <c r="F143" s="21" t="inlineStr"/>
      <c r="G143" s="21" t="inlineStr">
        <is>
          <t>Full functionality; check the HCFA print dialog especially.</t>
        </is>
      </c>
      <c r="H143" s="18" t="n"/>
      <c r="I143" s="19" t="n"/>
      <c r="J143" s="19" t="n"/>
      <c r="K143" s="19" t="n"/>
      <c r="L143" s="19" t="n"/>
    </row>
    <row r="144" ht="30" customHeight="1">
      <c r="A144" s="16" t="inlineStr">
        <is>
          <t>CB-003</t>
        </is>
      </c>
      <c r="B144" s="6" t="inlineStr">
        <is>
          <t>Cross-browser and responsive</t>
        </is>
      </c>
      <c r="C144" s="17" t="inlineStr">
        <is>
          <t>P3</t>
        </is>
      </c>
      <c r="D144" s="17" t="inlineStr">
        <is>
          <t>READ-ONLY</t>
        </is>
      </c>
      <c r="E144" s="6" t="inlineStr">
        <is>
          <t>Safari</t>
        </is>
      </c>
      <c r="F144" s="6" t="inlineStr"/>
      <c r="G144" s="6" t="inlineStr">
        <is>
          <t>Full functionality; @page handling differs — verify HCFA print.</t>
        </is>
      </c>
      <c r="H144" s="18" t="n"/>
      <c r="I144" s="19" t="n"/>
      <c r="J144" s="19" t="n"/>
      <c r="K144" s="19" t="n"/>
      <c r="L144" s="19" t="n"/>
    </row>
    <row r="145" ht="30" customHeight="1">
      <c r="A145" s="20" t="inlineStr">
        <is>
          <t>CB-004</t>
        </is>
      </c>
      <c r="B145" s="21" t="inlineStr">
        <is>
          <t>Cross-browser and responsive</t>
        </is>
      </c>
      <c r="C145" s="22" t="inlineStr">
        <is>
          <t>P3</t>
        </is>
      </c>
      <c r="D145" s="22" t="inlineStr">
        <is>
          <t>READ-ONLY</t>
        </is>
      </c>
      <c r="E145" s="21" t="inlineStr">
        <is>
          <t>1366 × 768</t>
        </is>
      </c>
      <c r="F145" s="21" t="inlineStr"/>
      <c r="G145" s="21" t="inlineStr">
        <is>
          <t>Usable without horizontal scrolling.</t>
        </is>
      </c>
      <c r="H145" s="18" t="n"/>
      <c r="I145" s="19" t="n"/>
      <c r="J145" s="19" t="n"/>
      <c r="K145" s="19" t="n"/>
      <c r="L145" s="19" t="n"/>
    </row>
    <row r="146" ht="30" customHeight="1">
      <c r="A146" s="16" t="inlineStr">
        <is>
          <t>CB-005</t>
        </is>
      </c>
      <c r="B146" s="6" t="inlineStr">
        <is>
          <t>Cross-browser and responsive</t>
        </is>
      </c>
      <c r="C146" s="17" t="inlineStr">
        <is>
          <t>P3</t>
        </is>
      </c>
      <c r="D146" s="17" t="inlineStr">
        <is>
          <t>READ-ONLY</t>
        </is>
      </c>
      <c r="E146" s="6" t="inlineStr">
        <is>
          <t>Tablet, 1024 wide</t>
        </is>
      </c>
      <c r="F146" s="6" t="inlineStr"/>
      <c r="G146" s="6" t="inlineStr">
        <is>
          <t>Claim workspace remains usable; side panels may stack.</t>
        </is>
      </c>
      <c r="H146" s="18" t="n"/>
      <c r="I146" s="19" t="n"/>
      <c r="J146" s="19" t="n"/>
      <c r="K146" s="19" t="n"/>
      <c r="L146" s="19" t="n"/>
    </row>
  </sheetData>
  <autoFilter ref="A3:L146"/>
  <mergeCells count="2">
    <mergeCell ref="A2:L2"/>
    <mergeCell ref="A1:L1"/>
  </mergeCells>
  <conditionalFormatting sqref="H4:H14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H4:H146" showDropDown="0" showInputMessage="0" showErrorMessage="0" allowBlank="1" promptTitle="Result" prompt="Pass, Fail, Blocked or N/A. Leave blank if not run." type="list">
      <formula1>"Pass,Fail,Blocked,N/A"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10" customWidth="1" min="5" max="5"/>
    <col width="8" customWidth="1" min="6" max="6"/>
    <col width="10" customWidth="1" min="7" max="7"/>
    <col width="11" customWidth="1" min="8" max="8"/>
  </cols>
  <sheetData>
    <row r="1">
      <c r="A1" s="1" t="inlineStr">
        <is>
          <t>Summary</t>
        </is>
      </c>
    </row>
    <row r="2">
      <c r="A2" s="2" t="inlineStr">
        <is>
          <t>Calculated from the Test Cases sheet. Do not type into this sheet.</t>
        </is>
      </c>
    </row>
    <row r="3" ht="28" customHeight="1">
      <c r="A3" s="15" t="inlineStr">
        <is>
          <t>Module</t>
        </is>
      </c>
      <c r="B3" s="15" t="inlineStr">
        <is>
          <t>Total</t>
        </is>
      </c>
      <c r="C3" s="15" t="inlineStr">
        <is>
          <t>Pass</t>
        </is>
      </c>
      <c r="D3" s="15" t="inlineStr">
        <is>
          <t>Fail</t>
        </is>
      </c>
      <c r="E3" s="15" t="inlineStr">
        <is>
          <t>Blocked</t>
        </is>
      </c>
      <c r="F3" s="15" t="inlineStr">
        <is>
          <t>N/A</t>
        </is>
      </c>
      <c r="G3" s="15" t="inlineStr">
        <is>
          <t>Not run</t>
        </is>
      </c>
      <c r="H3" s="15" t="inlineStr">
        <is>
          <t>Pass rate</t>
        </is>
      </c>
    </row>
    <row r="4">
      <c r="A4" s="10" t="inlineStr">
        <is>
          <t>Authentication</t>
        </is>
      </c>
      <c r="B4" s="17">
        <f>COUNTIF('Test Cases'!$B$4:$B$146,$A4)</f>
        <v/>
      </c>
      <c r="C4" s="17">
        <f>COUNTIFS('Test Cases'!$B$4:$B$146,$A4,'Test Cases'!$H$4:$H$146,"Pass")</f>
        <v/>
      </c>
      <c r="D4" s="17">
        <f>COUNTIFS('Test Cases'!$B$4:$B$146,$A4,'Test Cases'!$H$4:$H$146,"Fail")</f>
        <v/>
      </c>
      <c r="E4" s="17">
        <f>COUNTIFS('Test Cases'!$B$4:$B$146,$A4,'Test Cases'!$H$4:$H$146,"Blocked")</f>
        <v/>
      </c>
      <c r="F4" s="17">
        <f>COUNTIFS('Test Cases'!$B$4:$B$146,$A4,'Test Cases'!$H$4:$H$146,"N/A")</f>
        <v/>
      </c>
      <c r="G4" s="17">
        <f>B4-C4-D4-E4-F4</f>
        <v/>
      </c>
      <c r="H4" s="23">
        <f>IFERROR(C4/(C4+D4),"")</f>
        <v/>
      </c>
    </row>
    <row r="5">
      <c r="A5" s="10" t="inlineStr">
        <is>
          <t>Multi-factor authentication</t>
        </is>
      </c>
      <c r="B5" s="17">
        <f>COUNTIF('Test Cases'!$B$4:$B$146,$A5)</f>
        <v/>
      </c>
      <c r="C5" s="17">
        <f>COUNTIFS('Test Cases'!$B$4:$B$146,$A5,'Test Cases'!$H$4:$H$146,"Pass")</f>
        <v/>
      </c>
      <c r="D5" s="17">
        <f>COUNTIFS('Test Cases'!$B$4:$B$146,$A5,'Test Cases'!$H$4:$H$146,"Fail")</f>
        <v/>
      </c>
      <c r="E5" s="17">
        <f>COUNTIFS('Test Cases'!$B$4:$B$146,$A5,'Test Cases'!$H$4:$H$146,"Blocked")</f>
        <v/>
      </c>
      <c r="F5" s="17">
        <f>COUNTIFS('Test Cases'!$B$4:$B$146,$A5,'Test Cases'!$H$4:$H$146,"N/A")</f>
        <v/>
      </c>
      <c r="G5" s="17">
        <f>B5-C5-D5-E5-F5</f>
        <v/>
      </c>
      <c r="H5" s="23">
        <f>IFERROR(C5/(C5+D5),"")</f>
        <v/>
      </c>
    </row>
    <row r="6">
      <c r="A6" s="10" t="inlineStr">
        <is>
          <t>Roles and permissions</t>
        </is>
      </c>
      <c r="B6" s="17">
        <f>COUNTIF('Test Cases'!$B$4:$B$146,$A6)</f>
        <v/>
      </c>
      <c r="C6" s="17">
        <f>COUNTIFS('Test Cases'!$B$4:$B$146,$A6,'Test Cases'!$H$4:$H$146,"Pass")</f>
        <v/>
      </c>
      <c r="D6" s="17">
        <f>COUNTIFS('Test Cases'!$B$4:$B$146,$A6,'Test Cases'!$H$4:$H$146,"Fail")</f>
        <v/>
      </c>
      <c r="E6" s="17">
        <f>COUNTIFS('Test Cases'!$B$4:$B$146,$A6,'Test Cases'!$H$4:$H$146,"Blocked")</f>
        <v/>
      </c>
      <c r="F6" s="17">
        <f>COUNTIFS('Test Cases'!$B$4:$B$146,$A6,'Test Cases'!$H$4:$H$146,"N/A")</f>
        <v/>
      </c>
      <c r="G6" s="17">
        <f>B6-C6-D6-E6-F6</f>
        <v/>
      </c>
      <c r="H6" s="23">
        <f>IFERROR(C6/(C6+D6),"")</f>
        <v/>
      </c>
    </row>
    <row r="7">
      <c r="A7" s="10" t="inlineStr">
        <is>
          <t>Patients</t>
        </is>
      </c>
      <c r="B7" s="17">
        <f>COUNTIF('Test Cases'!$B$4:$B$146,$A7)</f>
        <v/>
      </c>
      <c r="C7" s="17">
        <f>COUNTIFS('Test Cases'!$B$4:$B$146,$A7,'Test Cases'!$H$4:$H$146,"Pass")</f>
        <v/>
      </c>
      <c r="D7" s="17">
        <f>COUNTIFS('Test Cases'!$B$4:$B$146,$A7,'Test Cases'!$H$4:$H$146,"Fail")</f>
        <v/>
      </c>
      <c r="E7" s="17">
        <f>COUNTIFS('Test Cases'!$B$4:$B$146,$A7,'Test Cases'!$H$4:$H$146,"Blocked")</f>
        <v/>
      </c>
      <c r="F7" s="17">
        <f>COUNTIFS('Test Cases'!$B$4:$B$146,$A7,'Test Cases'!$H$4:$H$146,"N/A")</f>
        <v/>
      </c>
      <c r="G7" s="17">
        <f>B7-C7-D7-E7-F7</f>
        <v/>
      </c>
      <c r="H7" s="23">
        <f>IFERROR(C7/(C7+D7),"")</f>
        <v/>
      </c>
    </row>
    <row r="8">
      <c r="A8" s="10" t="inlineStr">
        <is>
          <t>Billing ledger and payment posting</t>
        </is>
      </c>
      <c r="B8" s="17">
        <f>COUNTIF('Test Cases'!$B$4:$B$146,$A8)</f>
        <v/>
      </c>
      <c r="C8" s="17">
        <f>COUNTIFS('Test Cases'!$B$4:$B$146,$A8,'Test Cases'!$H$4:$H$146,"Pass")</f>
        <v/>
      </c>
      <c r="D8" s="17">
        <f>COUNTIFS('Test Cases'!$B$4:$B$146,$A8,'Test Cases'!$H$4:$H$146,"Fail")</f>
        <v/>
      </c>
      <c r="E8" s="17">
        <f>COUNTIFS('Test Cases'!$B$4:$B$146,$A8,'Test Cases'!$H$4:$H$146,"Blocked")</f>
        <v/>
      </c>
      <c r="F8" s="17">
        <f>COUNTIFS('Test Cases'!$B$4:$B$146,$A8,'Test Cases'!$H$4:$H$146,"N/A")</f>
        <v/>
      </c>
      <c r="G8" s="17">
        <f>B8-C8-D8-E8-F8</f>
        <v/>
      </c>
      <c r="H8" s="23">
        <f>IFERROR(C8/(C8+D8),"")</f>
        <v/>
      </c>
    </row>
    <row r="9">
      <c r="A9" s="10" t="inlineStr">
        <is>
          <t>Claims and the claim workspace</t>
        </is>
      </c>
      <c r="B9" s="17">
        <f>COUNTIF('Test Cases'!$B$4:$B$146,$A9)</f>
        <v/>
      </c>
      <c r="C9" s="17">
        <f>COUNTIFS('Test Cases'!$B$4:$B$146,$A9,'Test Cases'!$H$4:$H$146,"Pass")</f>
        <v/>
      </c>
      <c r="D9" s="17">
        <f>COUNTIFS('Test Cases'!$B$4:$B$146,$A9,'Test Cases'!$H$4:$H$146,"Fail")</f>
        <v/>
      </c>
      <c r="E9" s="17">
        <f>COUNTIFS('Test Cases'!$B$4:$B$146,$A9,'Test Cases'!$H$4:$H$146,"Blocked")</f>
        <v/>
      </c>
      <c r="F9" s="17">
        <f>COUNTIFS('Test Cases'!$B$4:$B$146,$A9,'Test Cases'!$H$4:$H$146,"N/A")</f>
        <v/>
      </c>
      <c r="G9" s="17">
        <f>B9-C9-D9-E9-F9</f>
        <v/>
      </c>
      <c r="H9" s="23">
        <f>IFERROR(C9/(C9+D9),"")</f>
        <v/>
      </c>
    </row>
    <row r="10">
      <c r="A10" s="10" t="inlineStr">
        <is>
          <t>CMS-1500 / HCFA</t>
        </is>
      </c>
      <c r="B10" s="17">
        <f>COUNTIF('Test Cases'!$B$4:$B$146,$A10)</f>
        <v/>
      </c>
      <c r="C10" s="17">
        <f>COUNTIFS('Test Cases'!$B$4:$B$146,$A10,'Test Cases'!$H$4:$H$146,"Pass")</f>
        <v/>
      </c>
      <c r="D10" s="17">
        <f>COUNTIFS('Test Cases'!$B$4:$B$146,$A10,'Test Cases'!$H$4:$H$146,"Fail")</f>
        <v/>
      </c>
      <c r="E10" s="17">
        <f>COUNTIFS('Test Cases'!$B$4:$B$146,$A10,'Test Cases'!$H$4:$H$146,"Blocked")</f>
        <v/>
      </c>
      <c r="F10" s="17">
        <f>COUNTIFS('Test Cases'!$B$4:$B$146,$A10,'Test Cases'!$H$4:$H$146,"N/A")</f>
        <v/>
      </c>
      <c r="G10" s="17">
        <f>B10-C10-D10-E10-F10</f>
        <v/>
      </c>
      <c r="H10" s="23">
        <f>IFERROR(C10/(C10+D10),"")</f>
        <v/>
      </c>
    </row>
    <row r="11">
      <c r="A11" s="10" t="inlineStr">
        <is>
          <t>Medical records</t>
        </is>
      </c>
      <c r="B11" s="17">
        <f>COUNTIF('Test Cases'!$B$4:$B$146,$A11)</f>
        <v/>
      </c>
      <c r="C11" s="17">
        <f>COUNTIFS('Test Cases'!$B$4:$B$146,$A11,'Test Cases'!$H$4:$H$146,"Pass")</f>
        <v/>
      </c>
      <c r="D11" s="17">
        <f>COUNTIFS('Test Cases'!$B$4:$B$146,$A11,'Test Cases'!$H$4:$H$146,"Fail")</f>
        <v/>
      </c>
      <c r="E11" s="17">
        <f>COUNTIFS('Test Cases'!$B$4:$B$146,$A11,'Test Cases'!$H$4:$H$146,"Blocked")</f>
        <v/>
      </c>
      <c r="F11" s="17">
        <f>COUNTIFS('Test Cases'!$B$4:$B$146,$A11,'Test Cases'!$H$4:$H$146,"N/A")</f>
        <v/>
      </c>
      <c r="G11" s="17">
        <f>B11-C11-D11-E11-F11</f>
        <v/>
      </c>
      <c r="H11" s="23">
        <f>IFERROR(C11/(C11+D11),"")</f>
        <v/>
      </c>
    </row>
    <row r="12">
      <c r="A12" s="10" t="inlineStr">
        <is>
          <t>Prescriptions (Rx)</t>
        </is>
      </c>
      <c r="B12" s="17">
        <f>COUNTIF('Test Cases'!$B$4:$B$146,$A12)</f>
        <v/>
      </c>
      <c r="C12" s="17">
        <f>COUNTIFS('Test Cases'!$B$4:$B$146,$A12,'Test Cases'!$H$4:$H$146,"Pass")</f>
        <v/>
      </c>
      <c r="D12" s="17">
        <f>COUNTIFS('Test Cases'!$B$4:$B$146,$A12,'Test Cases'!$H$4:$H$146,"Fail")</f>
        <v/>
      </c>
      <c r="E12" s="17">
        <f>COUNTIFS('Test Cases'!$B$4:$B$146,$A12,'Test Cases'!$H$4:$H$146,"Blocked")</f>
        <v/>
      </c>
      <c r="F12" s="17">
        <f>COUNTIFS('Test Cases'!$B$4:$B$146,$A12,'Test Cases'!$H$4:$H$146,"N/A")</f>
        <v/>
      </c>
      <c r="G12" s="17">
        <f>B12-C12-D12-E12-F12</f>
        <v/>
      </c>
      <c r="H12" s="23">
        <f>IFERROR(C12/(C12+D12),"")</f>
        <v/>
      </c>
    </row>
    <row r="13">
      <c r="A13" s="10" t="inlineStr">
        <is>
          <t>Reports, backup, and audit</t>
        </is>
      </c>
      <c r="B13" s="17">
        <f>COUNTIF('Test Cases'!$B$4:$B$146,$A13)</f>
        <v/>
      </c>
      <c r="C13" s="17">
        <f>COUNTIFS('Test Cases'!$B$4:$B$146,$A13,'Test Cases'!$H$4:$H$146,"Pass")</f>
        <v/>
      </c>
      <c r="D13" s="17">
        <f>COUNTIFS('Test Cases'!$B$4:$B$146,$A13,'Test Cases'!$H$4:$H$146,"Fail")</f>
        <v/>
      </c>
      <c r="E13" s="17">
        <f>COUNTIFS('Test Cases'!$B$4:$B$146,$A13,'Test Cases'!$H$4:$H$146,"Blocked")</f>
        <v/>
      </c>
      <c r="F13" s="17">
        <f>COUNTIFS('Test Cases'!$B$4:$B$146,$A13,'Test Cases'!$H$4:$H$146,"N/A")</f>
        <v/>
      </c>
      <c r="G13" s="17">
        <f>B13-C13-D13-E13-F13</f>
        <v/>
      </c>
      <c r="H13" s="23">
        <f>IFERROR(C13/(C13+D13),"")</f>
        <v/>
      </c>
    </row>
    <row r="14">
      <c r="A14" s="10" t="inlineStr">
        <is>
          <t>Demo account</t>
        </is>
      </c>
      <c r="B14" s="17">
        <f>COUNTIF('Test Cases'!$B$4:$B$146,$A14)</f>
        <v/>
      </c>
      <c r="C14" s="17">
        <f>COUNTIFS('Test Cases'!$B$4:$B$146,$A14,'Test Cases'!$H$4:$H$146,"Pass")</f>
        <v/>
      </c>
      <c r="D14" s="17">
        <f>COUNTIFS('Test Cases'!$B$4:$B$146,$A14,'Test Cases'!$H$4:$H$146,"Fail")</f>
        <v/>
      </c>
      <c r="E14" s="17">
        <f>COUNTIFS('Test Cases'!$B$4:$B$146,$A14,'Test Cases'!$H$4:$H$146,"Blocked")</f>
        <v/>
      </c>
      <c r="F14" s="17">
        <f>COUNTIFS('Test Cases'!$B$4:$B$146,$A14,'Test Cases'!$H$4:$H$146,"N/A")</f>
        <v/>
      </c>
      <c r="G14" s="17">
        <f>B14-C14-D14-E14-F14</f>
        <v/>
      </c>
      <c r="H14" s="23">
        <f>IFERROR(C14/(C14+D14),"")</f>
        <v/>
      </c>
    </row>
    <row r="15">
      <c r="A15" s="10" t="inlineStr">
        <is>
          <t>Accessibility</t>
        </is>
      </c>
      <c r="B15" s="17">
        <f>COUNTIF('Test Cases'!$B$4:$B$146,$A15)</f>
        <v/>
      </c>
      <c r="C15" s="17">
        <f>COUNTIFS('Test Cases'!$B$4:$B$146,$A15,'Test Cases'!$H$4:$H$146,"Pass")</f>
        <v/>
      </c>
      <c r="D15" s="17">
        <f>COUNTIFS('Test Cases'!$B$4:$B$146,$A15,'Test Cases'!$H$4:$H$146,"Fail")</f>
        <v/>
      </c>
      <c r="E15" s="17">
        <f>COUNTIFS('Test Cases'!$B$4:$B$146,$A15,'Test Cases'!$H$4:$H$146,"Blocked")</f>
        <v/>
      </c>
      <c r="F15" s="17">
        <f>COUNTIFS('Test Cases'!$B$4:$B$146,$A15,'Test Cases'!$H$4:$H$146,"N/A")</f>
        <v/>
      </c>
      <c r="G15" s="17">
        <f>B15-C15-D15-E15-F15</f>
        <v/>
      </c>
      <c r="H15" s="23">
        <f>IFERROR(C15/(C15+D15),"")</f>
        <v/>
      </c>
    </row>
    <row r="16">
      <c r="A16" s="10" t="inlineStr">
        <is>
          <t>Cross-browser and responsive</t>
        </is>
      </c>
      <c r="B16" s="17">
        <f>COUNTIF('Test Cases'!$B$4:$B$146,$A16)</f>
        <v/>
      </c>
      <c r="C16" s="17">
        <f>COUNTIFS('Test Cases'!$B$4:$B$146,$A16,'Test Cases'!$H$4:$H$146,"Pass")</f>
        <v/>
      </c>
      <c r="D16" s="17">
        <f>COUNTIFS('Test Cases'!$B$4:$B$146,$A16,'Test Cases'!$H$4:$H$146,"Fail")</f>
        <v/>
      </c>
      <c r="E16" s="17">
        <f>COUNTIFS('Test Cases'!$B$4:$B$146,$A16,'Test Cases'!$H$4:$H$146,"Blocked")</f>
        <v/>
      </c>
      <c r="F16" s="17">
        <f>COUNTIFS('Test Cases'!$B$4:$B$146,$A16,'Test Cases'!$H$4:$H$146,"N/A")</f>
        <v/>
      </c>
      <c r="G16" s="17">
        <f>B16-C16-D16-E16-F16</f>
        <v/>
      </c>
      <c r="H16" s="23">
        <f>IFERROR(C16/(C16+D16),"")</f>
        <v/>
      </c>
    </row>
    <row r="17">
      <c r="A17" s="5" t="inlineStr">
        <is>
          <t>TOTAL</t>
        </is>
      </c>
      <c r="B17" s="24">
        <f>SUM(B4:B16)</f>
        <v/>
      </c>
      <c r="C17" s="24">
        <f>SUM(C4:C16)</f>
        <v/>
      </c>
      <c r="D17" s="24">
        <f>SUM(D4:D16)</f>
        <v/>
      </c>
      <c r="E17" s="24">
        <f>SUM(E4:E16)</f>
        <v/>
      </c>
      <c r="F17" s="24">
        <f>SUM(F4:F16)</f>
        <v/>
      </c>
      <c r="G17" s="24">
        <f>SUM(G4:G16)</f>
        <v/>
      </c>
      <c r="H17" s="25">
        <f>IFERROR(C17/(C17+D17),"")</f>
        <v/>
      </c>
    </row>
    <row r="19">
      <c r="A19" s="3" t="inlineStr">
        <is>
          <t>By priority</t>
        </is>
      </c>
    </row>
    <row r="20" ht="28" customHeight="1">
      <c r="A20" s="15" t="inlineStr">
        <is>
          <t>Priority</t>
        </is>
      </c>
      <c r="B20" s="15" t="inlineStr">
        <is>
          <t>Total</t>
        </is>
      </c>
      <c r="C20" s="15" t="inlineStr">
        <is>
          <t>Pass</t>
        </is>
      </c>
      <c r="D20" s="15" t="inlineStr">
        <is>
          <t>Fail</t>
        </is>
      </c>
      <c r="E20" s="15" t="inlineStr">
        <is>
          <t>Blocked</t>
        </is>
      </c>
      <c r="F20" s="15" t="inlineStr">
        <is>
          <t>N/A</t>
        </is>
      </c>
      <c r="G20" s="15" t="inlineStr">
        <is>
          <t>Not run</t>
        </is>
      </c>
      <c r="H20" s="15" t="inlineStr">
        <is>
          <t>Pass rate</t>
        </is>
      </c>
    </row>
    <row r="21">
      <c r="A21" s="7" t="inlineStr">
        <is>
          <t>P1</t>
        </is>
      </c>
      <c r="B21" s="17">
        <f>COUNTIF('Test Cases'!$C$4:$C$146,$A21)</f>
        <v/>
      </c>
      <c r="C21" s="17">
        <f>COUNTIFS('Test Cases'!$C$4:$C$146,$A21,'Test Cases'!$H$4:$H$146,"Pass")</f>
        <v/>
      </c>
      <c r="D21" s="17">
        <f>COUNTIFS('Test Cases'!$C$4:$C$146,$A21,'Test Cases'!$H$4:$H$146,"Fail")</f>
        <v/>
      </c>
      <c r="E21" s="17">
        <f>COUNTIFS('Test Cases'!$C$4:$C$146,$A21,'Test Cases'!$H$4:$H$146,"Blocked")</f>
        <v/>
      </c>
      <c r="F21" s="17">
        <f>COUNTIFS('Test Cases'!$C$4:$C$146,$A21,'Test Cases'!$H$4:$H$146,"N/A")</f>
        <v/>
      </c>
      <c r="G21" s="17">
        <f>B21-C21-D21-E21-F21</f>
        <v/>
      </c>
      <c r="H21" s="23">
        <f>IFERROR(C21/(C21+D21),"")</f>
        <v/>
      </c>
    </row>
    <row r="22">
      <c r="A22" s="7" t="inlineStr">
        <is>
          <t>P2</t>
        </is>
      </c>
      <c r="B22" s="17">
        <f>COUNTIF('Test Cases'!$C$4:$C$146,$A22)</f>
        <v/>
      </c>
      <c r="C22" s="17">
        <f>COUNTIFS('Test Cases'!$C$4:$C$146,$A22,'Test Cases'!$H$4:$H$146,"Pass")</f>
        <v/>
      </c>
      <c r="D22" s="17">
        <f>COUNTIFS('Test Cases'!$C$4:$C$146,$A22,'Test Cases'!$H$4:$H$146,"Fail")</f>
        <v/>
      </c>
      <c r="E22" s="17">
        <f>COUNTIFS('Test Cases'!$C$4:$C$146,$A22,'Test Cases'!$H$4:$H$146,"Blocked")</f>
        <v/>
      </c>
      <c r="F22" s="17">
        <f>COUNTIFS('Test Cases'!$C$4:$C$146,$A22,'Test Cases'!$H$4:$H$146,"N/A")</f>
        <v/>
      </c>
      <c r="G22" s="17">
        <f>B22-C22-D22-E22-F22</f>
        <v/>
      </c>
      <c r="H22" s="23">
        <f>IFERROR(C22/(C22+D22),"")</f>
        <v/>
      </c>
    </row>
    <row r="23">
      <c r="A23" s="7" t="inlineStr">
        <is>
          <t>P3</t>
        </is>
      </c>
      <c r="B23" s="17">
        <f>COUNTIF('Test Cases'!$C$4:$C$146,$A23)</f>
        <v/>
      </c>
      <c r="C23" s="17">
        <f>COUNTIFS('Test Cases'!$C$4:$C$146,$A23,'Test Cases'!$H$4:$H$146,"Pass")</f>
        <v/>
      </c>
      <c r="D23" s="17">
        <f>COUNTIFS('Test Cases'!$C$4:$C$146,$A23,'Test Cases'!$H$4:$H$146,"Fail")</f>
        <v/>
      </c>
      <c r="E23" s="17">
        <f>COUNTIFS('Test Cases'!$C$4:$C$146,$A23,'Test Cases'!$H$4:$H$146,"Blocked")</f>
        <v/>
      </c>
      <c r="F23" s="17">
        <f>COUNTIFS('Test Cases'!$C$4:$C$146,$A23,'Test Cases'!$H$4:$H$146,"N/A")</f>
        <v/>
      </c>
      <c r="G23" s="17">
        <f>B23-C23-D23-E23-F23</f>
        <v/>
      </c>
      <c r="H23" s="23">
        <f>IFERROR(C23/(C23+D23),"")</f>
        <v/>
      </c>
    </row>
    <row r="25">
      <c r="A25" s="3" t="inlineStr">
        <is>
          <t>Exit criteria</t>
        </is>
      </c>
    </row>
    <row r="26">
      <c r="A26" s="7" t="inlineStr">
        <is>
          <t>All P1 cases pass</t>
        </is>
      </c>
      <c r="B26" s="26">
        <f>IF(D21&gt;0,"NOT MET — "&amp;D21&amp;" P1 failure(s)",IF(G21&gt;0,"INCOMPLETE — "&amp;G21&amp;" P1 case(s) not run","MET"))</f>
        <v/>
      </c>
      <c r="C26" s="27" t="n"/>
      <c r="D26" s="27" t="n"/>
      <c r="E26" s="27" t="n"/>
      <c r="F26" s="27" t="n"/>
      <c r="G26" s="27" t="n"/>
      <c r="H26" s="27" t="n"/>
    </row>
    <row r="27">
      <c r="A27" s="7" t="inlineStr">
        <is>
          <t>No unexplained failures anywhere</t>
        </is>
      </c>
      <c r="B27" s="26">
        <f>IF(D17&gt;0,"REVIEW — "&amp;D17&amp;" failure(s) recorded","MET")</f>
        <v/>
      </c>
      <c r="C27" s="27" t="n"/>
      <c r="D27" s="27" t="n"/>
      <c r="E27" s="27" t="n"/>
      <c r="F27" s="27" t="n"/>
      <c r="G27" s="27" t="n"/>
      <c r="H27" s="27" t="n"/>
    </row>
    <row r="28">
      <c r="A28" s="7" t="inlineStr">
        <is>
          <t>Every case accounted for</t>
        </is>
      </c>
      <c r="B28" s="26">
        <f>IF(G17&gt;0,"INCOMPLETE — "&amp;G17&amp;" case(s) not run","MET")</f>
        <v/>
      </c>
      <c r="C28" s="27" t="n"/>
      <c r="D28" s="27" t="n"/>
      <c r="E28" s="27" t="n"/>
      <c r="F28" s="27" t="n"/>
      <c r="G28" s="27" t="n"/>
      <c r="H28" s="27" t="n"/>
    </row>
  </sheetData>
  <mergeCells count="5">
    <mergeCell ref="B26:H26"/>
    <mergeCell ref="B27:H27"/>
    <mergeCell ref="A2:H2"/>
    <mergeCell ref="A1:H1"/>
    <mergeCell ref="B28:H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K1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40" customWidth="1" min="3" max="3"/>
    <col width="24" customWidth="1" min="4" max="4"/>
    <col width="12" customWidth="1" min="5" max="5"/>
    <col width="10" customWidth="1" min="6" max="6"/>
    <col width="44" customWidth="1" min="7" max="7"/>
    <col width="32" customWidth="1" min="8" max="8"/>
    <col width="32" customWidth="1" min="9" max="9"/>
    <col width="13" customWidth="1" min="10" max="10"/>
    <col width="14" customWidth="1" min="11" max="11"/>
  </cols>
  <sheetData>
    <row r="1">
      <c r="A1" s="1" t="inlineStr">
        <is>
          <t>Defect Log</t>
        </is>
      </c>
    </row>
    <row r="2">
      <c r="A2" s="2" t="inlineStr">
        <is>
          <t>One row per defect. Put the ID back in the Test Cases 'Defect ID' column.</t>
        </is>
      </c>
    </row>
    <row r="3" ht="28" customHeight="1">
      <c r="A3" s="15" t="inlineStr">
        <is>
          <t>Defect ID</t>
        </is>
      </c>
      <c r="B3" s="15" t="inlineStr">
        <is>
          <t>Test case ID</t>
        </is>
      </c>
      <c r="C3" s="15" t="inlineStr">
        <is>
          <t>Title</t>
        </is>
      </c>
      <c r="D3" s="15" t="inlineStr">
        <is>
          <t>Module</t>
        </is>
      </c>
      <c r="E3" s="15" t="inlineStr">
        <is>
          <t>Severity</t>
        </is>
      </c>
      <c r="F3" s="15" t="inlineStr">
        <is>
          <t>Priority</t>
        </is>
      </c>
      <c r="G3" s="15" t="inlineStr">
        <is>
          <t>Steps to reproduce</t>
        </is>
      </c>
      <c r="H3" s="15" t="inlineStr">
        <is>
          <t>Expected</t>
        </is>
      </c>
      <c r="I3" s="15" t="inlineStr">
        <is>
          <t>Actual</t>
        </is>
      </c>
      <c r="J3" s="15" t="inlineStr">
        <is>
          <t>Status</t>
        </is>
      </c>
      <c r="K3" s="15" t="inlineStr">
        <is>
          <t>Raised by</t>
        </is>
      </c>
    </row>
    <row r="4" ht="26" customHeight="1">
      <c r="A4" s="28" t="n"/>
      <c r="B4" s="19" t="n"/>
      <c r="C4" s="19" t="n"/>
      <c r="D4" s="19" t="n"/>
      <c r="E4" s="18" t="n"/>
      <c r="F4" s="18" t="n"/>
      <c r="G4" s="19" t="n"/>
      <c r="H4" s="19" t="n"/>
      <c r="I4" s="19" t="n"/>
      <c r="J4" s="18" t="n"/>
      <c r="K4" s="19" t="n"/>
    </row>
    <row r="5" ht="26" customHeight="1">
      <c r="A5" s="28" t="n"/>
      <c r="B5" s="19" t="n"/>
      <c r="C5" s="19" t="n"/>
      <c r="D5" s="19" t="n"/>
      <c r="E5" s="18" t="n"/>
      <c r="F5" s="18" t="n"/>
      <c r="G5" s="19" t="n"/>
      <c r="H5" s="19" t="n"/>
      <c r="I5" s="19" t="n"/>
      <c r="J5" s="18" t="n"/>
      <c r="K5" s="19" t="n"/>
    </row>
    <row r="6" ht="26" customHeight="1">
      <c r="A6" s="28" t="n"/>
      <c r="B6" s="19" t="n"/>
      <c r="C6" s="19" t="n"/>
      <c r="D6" s="19" t="n"/>
      <c r="E6" s="18" t="n"/>
      <c r="F6" s="18" t="n"/>
      <c r="G6" s="19" t="n"/>
      <c r="H6" s="19" t="n"/>
      <c r="I6" s="19" t="n"/>
      <c r="J6" s="18" t="n"/>
      <c r="K6" s="19" t="n"/>
    </row>
    <row r="7" ht="26" customHeight="1">
      <c r="A7" s="28" t="n"/>
      <c r="B7" s="19" t="n"/>
      <c r="C7" s="19" t="n"/>
      <c r="D7" s="19" t="n"/>
      <c r="E7" s="18" t="n"/>
      <c r="F7" s="18" t="n"/>
      <c r="G7" s="19" t="n"/>
      <c r="H7" s="19" t="n"/>
      <c r="I7" s="19" t="n"/>
      <c r="J7" s="18" t="n"/>
      <c r="K7" s="19" t="n"/>
    </row>
    <row r="8" ht="26" customHeight="1">
      <c r="A8" s="28" t="n"/>
      <c r="B8" s="19" t="n"/>
      <c r="C8" s="19" t="n"/>
      <c r="D8" s="19" t="n"/>
      <c r="E8" s="18" t="n"/>
      <c r="F8" s="18" t="n"/>
      <c r="G8" s="19" t="n"/>
      <c r="H8" s="19" t="n"/>
      <c r="I8" s="19" t="n"/>
      <c r="J8" s="18" t="n"/>
      <c r="K8" s="19" t="n"/>
    </row>
    <row r="9" ht="26" customHeight="1">
      <c r="A9" s="28" t="n"/>
      <c r="B9" s="19" t="n"/>
      <c r="C9" s="19" t="n"/>
      <c r="D9" s="19" t="n"/>
      <c r="E9" s="18" t="n"/>
      <c r="F9" s="18" t="n"/>
      <c r="G9" s="19" t="n"/>
      <c r="H9" s="19" t="n"/>
      <c r="I9" s="19" t="n"/>
      <c r="J9" s="18" t="n"/>
      <c r="K9" s="19" t="n"/>
    </row>
    <row r="10" ht="26" customHeight="1">
      <c r="A10" s="28" t="n"/>
      <c r="B10" s="19" t="n"/>
      <c r="C10" s="19" t="n"/>
      <c r="D10" s="19" t="n"/>
      <c r="E10" s="18" t="n"/>
      <c r="F10" s="18" t="n"/>
      <c r="G10" s="19" t="n"/>
      <c r="H10" s="19" t="n"/>
      <c r="I10" s="19" t="n"/>
      <c r="J10" s="18" t="n"/>
      <c r="K10" s="19" t="n"/>
    </row>
    <row r="11" ht="26" customHeight="1">
      <c r="A11" s="28" t="n"/>
      <c r="B11" s="19" t="n"/>
      <c r="C11" s="19" t="n"/>
      <c r="D11" s="19" t="n"/>
      <c r="E11" s="18" t="n"/>
      <c r="F11" s="18" t="n"/>
      <c r="G11" s="19" t="n"/>
      <c r="H11" s="19" t="n"/>
      <c r="I11" s="19" t="n"/>
      <c r="J11" s="18" t="n"/>
      <c r="K11" s="19" t="n"/>
    </row>
    <row r="12" ht="26" customHeight="1">
      <c r="A12" s="28" t="n"/>
      <c r="B12" s="19" t="n"/>
      <c r="C12" s="19" t="n"/>
      <c r="D12" s="19" t="n"/>
      <c r="E12" s="18" t="n"/>
      <c r="F12" s="18" t="n"/>
      <c r="G12" s="19" t="n"/>
      <c r="H12" s="19" t="n"/>
      <c r="I12" s="19" t="n"/>
      <c r="J12" s="18" t="n"/>
      <c r="K12" s="19" t="n"/>
    </row>
    <row r="13" ht="26" customHeight="1">
      <c r="A13" s="28" t="n"/>
      <c r="B13" s="19" t="n"/>
      <c r="C13" s="19" t="n"/>
      <c r="D13" s="19" t="n"/>
      <c r="E13" s="18" t="n"/>
      <c r="F13" s="18" t="n"/>
      <c r="G13" s="19" t="n"/>
      <c r="H13" s="19" t="n"/>
      <c r="I13" s="19" t="n"/>
      <c r="J13" s="18" t="n"/>
      <c r="K13" s="19" t="n"/>
    </row>
    <row r="14" ht="26" customHeight="1">
      <c r="A14" s="28" t="n"/>
      <c r="B14" s="19" t="n"/>
      <c r="C14" s="19" t="n"/>
      <c r="D14" s="19" t="n"/>
      <c r="E14" s="18" t="n"/>
      <c r="F14" s="18" t="n"/>
      <c r="G14" s="19" t="n"/>
      <c r="H14" s="19" t="n"/>
      <c r="I14" s="19" t="n"/>
      <c r="J14" s="18" t="n"/>
      <c r="K14" s="19" t="n"/>
    </row>
    <row r="15" ht="26" customHeight="1">
      <c r="A15" s="28" t="n"/>
      <c r="B15" s="19" t="n"/>
      <c r="C15" s="19" t="n"/>
      <c r="D15" s="19" t="n"/>
      <c r="E15" s="18" t="n"/>
      <c r="F15" s="18" t="n"/>
      <c r="G15" s="19" t="n"/>
      <c r="H15" s="19" t="n"/>
      <c r="I15" s="19" t="n"/>
      <c r="J15" s="18" t="n"/>
      <c r="K15" s="19" t="n"/>
    </row>
    <row r="16" ht="26" customHeight="1">
      <c r="A16" s="28" t="n"/>
      <c r="B16" s="19" t="n"/>
      <c r="C16" s="19" t="n"/>
      <c r="D16" s="19" t="n"/>
      <c r="E16" s="18" t="n"/>
      <c r="F16" s="18" t="n"/>
      <c r="G16" s="19" t="n"/>
      <c r="H16" s="19" t="n"/>
      <c r="I16" s="19" t="n"/>
      <c r="J16" s="18" t="n"/>
      <c r="K16" s="19" t="n"/>
    </row>
    <row r="17" ht="26" customHeight="1">
      <c r="A17" s="28" t="n"/>
      <c r="B17" s="19" t="n"/>
      <c r="C17" s="19" t="n"/>
      <c r="D17" s="19" t="n"/>
      <c r="E17" s="18" t="n"/>
      <c r="F17" s="18" t="n"/>
      <c r="G17" s="19" t="n"/>
      <c r="H17" s="19" t="n"/>
      <c r="I17" s="19" t="n"/>
      <c r="J17" s="18" t="n"/>
      <c r="K17" s="19" t="n"/>
    </row>
    <row r="18" ht="26" customHeight="1">
      <c r="A18" s="28" t="n"/>
      <c r="B18" s="19" t="n"/>
      <c r="C18" s="19" t="n"/>
      <c r="D18" s="19" t="n"/>
      <c r="E18" s="18" t="n"/>
      <c r="F18" s="18" t="n"/>
      <c r="G18" s="19" t="n"/>
      <c r="H18" s="19" t="n"/>
      <c r="I18" s="19" t="n"/>
      <c r="J18" s="18" t="n"/>
      <c r="K18" s="19" t="n"/>
    </row>
    <row r="19" ht="26" customHeight="1">
      <c r="A19" s="28" t="n"/>
      <c r="B19" s="19" t="n"/>
      <c r="C19" s="19" t="n"/>
      <c r="D19" s="19" t="n"/>
      <c r="E19" s="18" t="n"/>
      <c r="F19" s="18" t="n"/>
      <c r="G19" s="19" t="n"/>
      <c r="H19" s="19" t="n"/>
      <c r="I19" s="19" t="n"/>
      <c r="J19" s="18" t="n"/>
      <c r="K19" s="19" t="n"/>
    </row>
    <row r="20" ht="26" customHeight="1">
      <c r="A20" s="28" t="n"/>
      <c r="B20" s="19" t="n"/>
      <c r="C20" s="19" t="n"/>
      <c r="D20" s="19" t="n"/>
      <c r="E20" s="18" t="n"/>
      <c r="F20" s="18" t="n"/>
      <c r="G20" s="19" t="n"/>
      <c r="H20" s="19" t="n"/>
      <c r="I20" s="19" t="n"/>
      <c r="J20" s="18" t="n"/>
      <c r="K20" s="19" t="n"/>
    </row>
    <row r="21" ht="26" customHeight="1">
      <c r="A21" s="28" t="n"/>
      <c r="B21" s="19" t="n"/>
      <c r="C21" s="19" t="n"/>
      <c r="D21" s="19" t="n"/>
      <c r="E21" s="18" t="n"/>
      <c r="F21" s="18" t="n"/>
      <c r="G21" s="19" t="n"/>
      <c r="H21" s="19" t="n"/>
      <c r="I21" s="19" t="n"/>
      <c r="J21" s="18" t="n"/>
      <c r="K21" s="19" t="n"/>
    </row>
    <row r="22" ht="26" customHeight="1">
      <c r="A22" s="28" t="n"/>
      <c r="B22" s="19" t="n"/>
      <c r="C22" s="19" t="n"/>
      <c r="D22" s="19" t="n"/>
      <c r="E22" s="18" t="n"/>
      <c r="F22" s="18" t="n"/>
      <c r="G22" s="19" t="n"/>
      <c r="H22" s="19" t="n"/>
      <c r="I22" s="19" t="n"/>
      <c r="J22" s="18" t="n"/>
      <c r="K22" s="19" t="n"/>
    </row>
    <row r="23" ht="26" customHeight="1">
      <c r="A23" s="28" t="n"/>
      <c r="B23" s="19" t="n"/>
      <c r="C23" s="19" t="n"/>
      <c r="D23" s="19" t="n"/>
      <c r="E23" s="18" t="n"/>
      <c r="F23" s="18" t="n"/>
      <c r="G23" s="19" t="n"/>
      <c r="H23" s="19" t="n"/>
      <c r="I23" s="19" t="n"/>
      <c r="J23" s="18" t="n"/>
      <c r="K23" s="19" t="n"/>
    </row>
    <row r="24" ht="26" customHeight="1">
      <c r="A24" s="28" t="n"/>
      <c r="B24" s="19" t="n"/>
      <c r="C24" s="19" t="n"/>
      <c r="D24" s="19" t="n"/>
      <c r="E24" s="18" t="n"/>
      <c r="F24" s="18" t="n"/>
      <c r="G24" s="19" t="n"/>
      <c r="H24" s="19" t="n"/>
      <c r="I24" s="19" t="n"/>
      <c r="J24" s="18" t="n"/>
      <c r="K24" s="19" t="n"/>
    </row>
    <row r="25" ht="26" customHeight="1">
      <c r="A25" s="28" t="n"/>
      <c r="B25" s="19" t="n"/>
      <c r="C25" s="19" t="n"/>
      <c r="D25" s="19" t="n"/>
      <c r="E25" s="18" t="n"/>
      <c r="F25" s="18" t="n"/>
      <c r="G25" s="19" t="n"/>
      <c r="H25" s="19" t="n"/>
      <c r="I25" s="19" t="n"/>
      <c r="J25" s="18" t="n"/>
      <c r="K25" s="19" t="n"/>
    </row>
    <row r="26" ht="26" customHeight="1">
      <c r="A26" s="28" t="n"/>
      <c r="B26" s="19" t="n"/>
      <c r="C26" s="19" t="n"/>
      <c r="D26" s="19" t="n"/>
      <c r="E26" s="18" t="n"/>
      <c r="F26" s="18" t="n"/>
      <c r="G26" s="19" t="n"/>
      <c r="H26" s="19" t="n"/>
      <c r="I26" s="19" t="n"/>
      <c r="J26" s="18" t="n"/>
      <c r="K26" s="19" t="n"/>
    </row>
    <row r="27" ht="26" customHeight="1">
      <c r="A27" s="28" t="n"/>
      <c r="B27" s="19" t="n"/>
      <c r="C27" s="19" t="n"/>
      <c r="D27" s="19" t="n"/>
      <c r="E27" s="18" t="n"/>
      <c r="F27" s="18" t="n"/>
      <c r="G27" s="19" t="n"/>
      <c r="H27" s="19" t="n"/>
      <c r="I27" s="19" t="n"/>
      <c r="J27" s="18" t="n"/>
      <c r="K27" s="19" t="n"/>
    </row>
    <row r="28" ht="26" customHeight="1">
      <c r="A28" s="28" t="n"/>
      <c r="B28" s="19" t="n"/>
      <c r="C28" s="19" t="n"/>
      <c r="D28" s="19" t="n"/>
      <c r="E28" s="18" t="n"/>
      <c r="F28" s="18" t="n"/>
      <c r="G28" s="19" t="n"/>
      <c r="H28" s="19" t="n"/>
      <c r="I28" s="19" t="n"/>
      <c r="J28" s="18" t="n"/>
      <c r="K28" s="19" t="n"/>
    </row>
    <row r="29" ht="26" customHeight="1">
      <c r="A29" s="28" t="n"/>
      <c r="B29" s="19" t="n"/>
      <c r="C29" s="19" t="n"/>
      <c r="D29" s="19" t="n"/>
      <c r="E29" s="18" t="n"/>
      <c r="F29" s="18" t="n"/>
      <c r="G29" s="19" t="n"/>
      <c r="H29" s="19" t="n"/>
      <c r="I29" s="19" t="n"/>
      <c r="J29" s="18" t="n"/>
      <c r="K29" s="19" t="n"/>
    </row>
    <row r="30" ht="26" customHeight="1">
      <c r="A30" s="28" t="n"/>
      <c r="B30" s="19" t="n"/>
      <c r="C30" s="19" t="n"/>
      <c r="D30" s="19" t="n"/>
      <c r="E30" s="18" t="n"/>
      <c r="F30" s="18" t="n"/>
      <c r="G30" s="19" t="n"/>
      <c r="H30" s="19" t="n"/>
      <c r="I30" s="19" t="n"/>
      <c r="J30" s="18" t="n"/>
      <c r="K30" s="19" t="n"/>
    </row>
    <row r="31" ht="26" customHeight="1">
      <c r="A31" s="28" t="n"/>
      <c r="B31" s="19" t="n"/>
      <c r="C31" s="19" t="n"/>
      <c r="D31" s="19" t="n"/>
      <c r="E31" s="18" t="n"/>
      <c r="F31" s="18" t="n"/>
      <c r="G31" s="19" t="n"/>
      <c r="H31" s="19" t="n"/>
      <c r="I31" s="19" t="n"/>
      <c r="J31" s="18" t="n"/>
      <c r="K31" s="19" t="n"/>
    </row>
    <row r="32" ht="26" customHeight="1">
      <c r="A32" s="28" t="n"/>
      <c r="B32" s="19" t="n"/>
      <c r="C32" s="19" t="n"/>
      <c r="D32" s="19" t="n"/>
      <c r="E32" s="18" t="n"/>
      <c r="F32" s="18" t="n"/>
      <c r="G32" s="19" t="n"/>
      <c r="H32" s="19" t="n"/>
      <c r="I32" s="19" t="n"/>
      <c r="J32" s="18" t="n"/>
      <c r="K32" s="19" t="n"/>
    </row>
    <row r="33" ht="26" customHeight="1">
      <c r="A33" s="28" t="n"/>
      <c r="B33" s="19" t="n"/>
      <c r="C33" s="19" t="n"/>
      <c r="D33" s="19" t="n"/>
      <c r="E33" s="18" t="n"/>
      <c r="F33" s="18" t="n"/>
      <c r="G33" s="19" t="n"/>
      <c r="H33" s="19" t="n"/>
      <c r="I33" s="19" t="n"/>
      <c r="J33" s="18" t="n"/>
      <c r="K33" s="19" t="n"/>
    </row>
    <row r="34" ht="26" customHeight="1">
      <c r="A34" s="28" t="n"/>
      <c r="B34" s="19" t="n"/>
      <c r="C34" s="19" t="n"/>
      <c r="D34" s="19" t="n"/>
      <c r="E34" s="18" t="n"/>
      <c r="F34" s="18" t="n"/>
      <c r="G34" s="19" t="n"/>
      <c r="H34" s="19" t="n"/>
      <c r="I34" s="19" t="n"/>
      <c r="J34" s="18" t="n"/>
      <c r="K34" s="19" t="n"/>
    </row>
    <row r="35" ht="26" customHeight="1">
      <c r="A35" s="28" t="n"/>
      <c r="B35" s="19" t="n"/>
      <c r="C35" s="19" t="n"/>
      <c r="D35" s="19" t="n"/>
      <c r="E35" s="18" t="n"/>
      <c r="F35" s="18" t="n"/>
      <c r="G35" s="19" t="n"/>
      <c r="H35" s="19" t="n"/>
      <c r="I35" s="19" t="n"/>
      <c r="J35" s="18" t="n"/>
      <c r="K35" s="19" t="n"/>
    </row>
    <row r="36" ht="26" customHeight="1">
      <c r="A36" s="28" t="n"/>
      <c r="B36" s="19" t="n"/>
      <c r="C36" s="19" t="n"/>
      <c r="D36" s="19" t="n"/>
      <c r="E36" s="18" t="n"/>
      <c r="F36" s="18" t="n"/>
      <c r="G36" s="19" t="n"/>
      <c r="H36" s="19" t="n"/>
      <c r="I36" s="19" t="n"/>
      <c r="J36" s="18" t="n"/>
      <c r="K36" s="19" t="n"/>
    </row>
    <row r="37" ht="26" customHeight="1">
      <c r="A37" s="28" t="n"/>
      <c r="B37" s="19" t="n"/>
      <c r="C37" s="19" t="n"/>
      <c r="D37" s="19" t="n"/>
      <c r="E37" s="18" t="n"/>
      <c r="F37" s="18" t="n"/>
      <c r="G37" s="19" t="n"/>
      <c r="H37" s="19" t="n"/>
      <c r="I37" s="19" t="n"/>
      <c r="J37" s="18" t="n"/>
      <c r="K37" s="19" t="n"/>
    </row>
    <row r="38" ht="26" customHeight="1">
      <c r="A38" s="28" t="n"/>
      <c r="B38" s="19" t="n"/>
      <c r="C38" s="19" t="n"/>
      <c r="D38" s="19" t="n"/>
      <c r="E38" s="18" t="n"/>
      <c r="F38" s="18" t="n"/>
      <c r="G38" s="19" t="n"/>
      <c r="H38" s="19" t="n"/>
      <c r="I38" s="19" t="n"/>
      <c r="J38" s="18" t="n"/>
      <c r="K38" s="19" t="n"/>
    </row>
    <row r="39" ht="26" customHeight="1">
      <c r="A39" s="28" t="n"/>
      <c r="B39" s="19" t="n"/>
      <c r="C39" s="19" t="n"/>
      <c r="D39" s="19" t="n"/>
      <c r="E39" s="18" t="n"/>
      <c r="F39" s="18" t="n"/>
      <c r="G39" s="19" t="n"/>
      <c r="H39" s="19" t="n"/>
      <c r="I39" s="19" t="n"/>
      <c r="J39" s="18" t="n"/>
      <c r="K39" s="19" t="n"/>
    </row>
    <row r="40" ht="26" customHeight="1">
      <c r="A40" s="28" t="n"/>
      <c r="B40" s="19" t="n"/>
      <c r="C40" s="19" t="n"/>
      <c r="D40" s="19" t="n"/>
      <c r="E40" s="18" t="n"/>
      <c r="F40" s="18" t="n"/>
      <c r="G40" s="19" t="n"/>
      <c r="H40" s="19" t="n"/>
      <c r="I40" s="19" t="n"/>
      <c r="J40" s="18" t="n"/>
      <c r="K40" s="19" t="n"/>
    </row>
    <row r="41" ht="26" customHeight="1">
      <c r="A41" s="28" t="n"/>
      <c r="B41" s="19" t="n"/>
      <c r="C41" s="19" t="n"/>
      <c r="D41" s="19" t="n"/>
      <c r="E41" s="18" t="n"/>
      <c r="F41" s="18" t="n"/>
      <c r="G41" s="19" t="n"/>
      <c r="H41" s="19" t="n"/>
      <c r="I41" s="19" t="n"/>
      <c r="J41" s="18" t="n"/>
      <c r="K41" s="19" t="n"/>
    </row>
    <row r="42" ht="26" customHeight="1">
      <c r="A42" s="28" t="n"/>
      <c r="B42" s="19" t="n"/>
      <c r="C42" s="19" t="n"/>
      <c r="D42" s="19" t="n"/>
      <c r="E42" s="18" t="n"/>
      <c r="F42" s="18" t="n"/>
      <c r="G42" s="19" t="n"/>
      <c r="H42" s="19" t="n"/>
      <c r="I42" s="19" t="n"/>
      <c r="J42" s="18" t="n"/>
      <c r="K42" s="19" t="n"/>
    </row>
    <row r="43" ht="26" customHeight="1">
      <c r="A43" s="28" t="n"/>
      <c r="B43" s="19" t="n"/>
      <c r="C43" s="19" t="n"/>
      <c r="D43" s="19" t="n"/>
      <c r="E43" s="18" t="n"/>
      <c r="F43" s="18" t="n"/>
      <c r="G43" s="19" t="n"/>
      <c r="H43" s="19" t="n"/>
      <c r="I43" s="19" t="n"/>
      <c r="J43" s="18" t="n"/>
      <c r="K43" s="19" t="n"/>
    </row>
    <row r="44" ht="26" customHeight="1">
      <c r="A44" s="28" t="n"/>
      <c r="B44" s="19" t="n"/>
      <c r="C44" s="19" t="n"/>
      <c r="D44" s="19" t="n"/>
      <c r="E44" s="18" t="n"/>
      <c r="F44" s="18" t="n"/>
      <c r="G44" s="19" t="n"/>
      <c r="H44" s="19" t="n"/>
      <c r="I44" s="19" t="n"/>
      <c r="J44" s="18" t="n"/>
      <c r="K44" s="19" t="n"/>
    </row>
    <row r="45" ht="26" customHeight="1">
      <c r="A45" s="28" t="n"/>
      <c r="B45" s="19" t="n"/>
      <c r="C45" s="19" t="n"/>
      <c r="D45" s="19" t="n"/>
      <c r="E45" s="18" t="n"/>
      <c r="F45" s="18" t="n"/>
      <c r="G45" s="19" t="n"/>
      <c r="H45" s="19" t="n"/>
      <c r="I45" s="19" t="n"/>
      <c r="J45" s="18" t="n"/>
      <c r="K45" s="19" t="n"/>
    </row>
    <row r="46" ht="26" customHeight="1">
      <c r="A46" s="28" t="n"/>
      <c r="B46" s="19" t="n"/>
      <c r="C46" s="19" t="n"/>
      <c r="D46" s="19" t="n"/>
      <c r="E46" s="18" t="n"/>
      <c r="F46" s="18" t="n"/>
      <c r="G46" s="19" t="n"/>
      <c r="H46" s="19" t="n"/>
      <c r="I46" s="19" t="n"/>
      <c r="J46" s="18" t="n"/>
      <c r="K46" s="19" t="n"/>
    </row>
    <row r="47" ht="26" customHeight="1">
      <c r="A47" s="28" t="n"/>
      <c r="B47" s="19" t="n"/>
      <c r="C47" s="19" t="n"/>
      <c r="D47" s="19" t="n"/>
      <c r="E47" s="18" t="n"/>
      <c r="F47" s="18" t="n"/>
      <c r="G47" s="19" t="n"/>
      <c r="H47" s="19" t="n"/>
      <c r="I47" s="19" t="n"/>
      <c r="J47" s="18" t="n"/>
      <c r="K47" s="19" t="n"/>
    </row>
    <row r="48" ht="26" customHeight="1">
      <c r="A48" s="28" t="n"/>
      <c r="B48" s="19" t="n"/>
      <c r="C48" s="19" t="n"/>
      <c r="D48" s="19" t="n"/>
      <c r="E48" s="18" t="n"/>
      <c r="F48" s="18" t="n"/>
      <c r="G48" s="19" t="n"/>
      <c r="H48" s="19" t="n"/>
      <c r="I48" s="19" t="n"/>
      <c r="J48" s="18" t="n"/>
      <c r="K48" s="19" t="n"/>
    </row>
    <row r="49" ht="26" customHeight="1">
      <c r="A49" s="28" t="n"/>
      <c r="B49" s="19" t="n"/>
      <c r="C49" s="19" t="n"/>
      <c r="D49" s="19" t="n"/>
      <c r="E49" s="18" t="n"/>
      <c r="F49" s="18" t="n"/>
      <c r="G49" s="19" t="n"/>
      <c r="H49" s="19" t="n"/>
      <c r="I49" s="19" t="n"/>
      <c r="J49" s="18" t="n"/>
      <c r="K49" s="19" t="n"/>
    </row>
    <row r="50" ht="26" customHeight="1">
      <c r="A50" s="28" t="n"/>
      <c r="B50" s="19" t="n"/>
      <c r="C50" s="19" t="n"/>
      <c r="D50" s="19" t="n"/>
      <c r="E50" s="18" t="n"/>
      <c r="F50" s="18" t="n"/>
      <c r="G50" s="19" t="n"/>
      <c r="H50" s="19" t="n"/>
      <c r="I50" s="19" t="n"/>
      <c r="J50" s="18" t="n"/>
      <c r="K50" s="19" t="n"/>
    </row>
    <row r="51" ht="26" customHeight="1">
      <c r="A51" s="28" t="n"/>
      <c r="B51" s="19" t="n"/>
      <c r="C51" s="19" t="n"/>
      <c r="D51" s="19" t="n"/>
      <c r="E51" s="18" t="n"/>
      <c r="F51" s="18" t="n"/>
      <c r="G51" s="19" t="n"/>
      <c r="H51" s="19" t="n"/>
      <c r="I51" s="19" t="n"/>
      <c r="J51" s="18" t="n"/>
      <c r="K51" s="19" t="n"/>
    </row>
    <row r="52" ht="26" customHeight="1">
      <c r="A52" s="28" t="n"/>
      <c r="B52" s="19" t="n"/>
      <c r="C52" s="19" t="n"/>
      <c r="D52" s="19" t="n"/>
      <c r="E52" s="18" t="n"/>
      <c r="F52" s="18" t="n"/>
      <c r="G52" s="19" t="n"/>
      <c r="H52" s="19" t="n"/>
      <c r="I52" s="19" t="n"/>
      <c r="J52" s="18" t="n"/>
      <c r="K52" s="19" t="n"/>
    </row>
    <row r="53" ht="26" customHeight="1">
      <c r="A53" s="28" t="n"/>
      <c r="B53" s="19" t="n"/>
      <c r="C53" s="19" t="n"/>
      <c r="D53" s="19" t="n"/>
      <c r="E53" s="18" t="n"/>
      <c r="F53" s="18" t="n"/>
      <c r="G53" s="19" t="n"/>
      <c r="H53" s="19" t="n"/>
      <c r="I53" s="19" t="n"/>
      <c r="J53" s="18" t="n"/>
      <c r="K53" s="19" t="n"/>
    </row>
    <row r="54" ht="26" customHeight="1">
      <c r="A54" s="28" t="n"/>
      <c r="B54" s="19" t="n"/>
      <c r="C54" s="19" t="n"/>
      <c r="D54" s="19" t="n"/>
      <c r="E54" s="18" t="n"/>
      <c r="F54" s="18" t="n"/>
      <c r="G54" s="19" t="n"/>
      <c r="H54" s="19" t="n"/>
      <c r="I54" s="19" t="n"/>
      <c r="J54" s="18" t="n"/>
      <c r="K54" s="19" t="n"/>
    </row>
    <row r="55" ht="26" customHeight="1">
      <c r="A55" s="28" t="n"/>
      <c r="B55" s="19" t="n"/>
      <c r="C55" s="19" t="n"/>
      <c r="D55" s="19" t="n"/>
      <c r="E55" s="18" t="n"/>
      <c r="F55" s="18" t="n"/>
      <c r="G55" s="19" t="n"/>
      <c r="H55" s="19" t="n"/>
      <c r="I55" s="19" t="n"/>
      <c r="J55" s="18" t="n"/>
      <c r="K55" s="19" t="n"/>
    </row>
    <row r="56" ht="26" customHeight="1">
      <c r="A56" s="28" t="n"/>
      <c r="B56" s="19" t="n"/>
      <c r="C56" s="19" t="n"/>
      <c r="D56" s="19" t="n"/>
      <c r="E56" s="18" t="n"/>
      <c r="F56" s="18" t="n"/>
      <c r="G56" s="19" t="n"/>
      <c r="H56" s="19" t="n"/>
      <c r="I56" s="19" t="n"/>
      <c r="J56" s="18" t="n"/>
      <c r="K56" s="19" t="n"/>
    </row>
    <row r="57" ht="26" customHeight="1">
      <c r="A57" s="28" t="n"/>
      <c r="B57" s="19" t="n"/>
      <c r="C57" s="19" t="n"/>
      <c r="D57" s="19" t="n"/>
      <c r="E57" s="18" t="n"/>
      <c r="F57" s="18" t="n"/>
      <c r="G57" s="19" t="n"/>
      <c r="H57" s="19" t="n"/>
      <c r="I57" s="19" t="n"/>
      <c r="J57" s="18" t="n"/>
      <c r="K57" s="19" t="n"/>
    </row>
    <row r="58" ht="26" customHeight="1">
      <c r="A58" s="28" t="n"/>
      <c r="B58" s="19" t="n"/>
      <c r="C58" s="19" t="n"/>
      <c r="D58" s="19" t="n"/>
      <c r="E58" s="18" t="n"/>
      <c r="F58" s="18" t="n"/>
      <c r="G58" s="19" t="n"/>
      <c r="H58" s="19" t="n"/>
      <c r="I58" s="19" t="n"/>
      <c r="J58" s="18" t="n"/>
      <c r="K58" s="19" t="n"/>
    </row>
    <row r="59" ht="26" customHeight="1">
      <c r="A59" s="28" t="n"/>
      <c r="B59" s="19" t="n"/>
      <c r="C59" s="19" t="n"/>
      <c r="D59" s="19" t="n"/>
      <c r="E59" s="18" t="n"/>
      <c r="F59" s="18" t="n"/>
      <c r="G59" s="19" t="n"/>
      <c r="H59" s="19" t="n"/>
      <c r="I59" s="19" t="n"/>
      <c r="J59" s="18" t="n"/>
      <c r="K59" s="19" t="n"/>
    </row>
    <row r="60" ht="26" customHeight="1">
      <c r="A60" s="28" t="n"/>
      <c r="B60" s="19" t="n"/>
      <c r="C60" s="19" t="n"/>
      <c r="D60" s="19" t="n"/>
      <c r="E60" s="18" t="n"/>
      <c r="F60" s="18" t="n"/>
      <c r="G60" s="19" t="n"/>
      <c r="H60" s="19" t="n"/>
      <c r="I60" s="19" t="n"/>
      <c r="J60" s="18" t="n"/>
      <c r="K60" s="19" t="n"/>
    </row>
    <row r="61" ht="26" customHeight="1">
      <c r="A61" s="28" t="n"/>
      <c r="B61" s="19" t="n"/>
      <c r="C61" s="19" t="n"/>
      <c r="D61" s="19" t="n"/>
      <c r="E61" s="18" t="n"/>
      <c r="F61" s="18" t="n"/>
      <c r="G61" s="19" t="n"/>
      <c r="H61" s="19" t="n"/>
      <c r="I61" s="19" t="n"/>
      <c r="J61" s="18" t="n"/>
      <c r="K61" s="19" t="n"/>
    </row>
    <row r="62" ht="26" customHeight="1">
      <c r="A62" s="28" t="n"/>
      <c r="B62" s="19" t="n"/>
      <c r="C62" s="19" t="n"/>
      <c r="D62" s="19" t="n"/>
      <c r="E62" s="18" t="n"/>
      <c r="F62" s="18" t="n"/>
      <c r="G62" s="19" t="n"/>
      <c r="H62" s="19" t="n"/>
      <c r="I62" s="19" t="n"/>
      <c r="J62" s="18" t="n"/>
      <c r="K62" s="19" t="n"/>
    </row>
    <row r="63" ht="26" customHeight="1">
      <c r="A63" s="28" t="n"/>
      <c r="B63" s="19" t="n"/>
      <c r="C63" s="19" t="n"/>
      <c r="D63" s="19" t="n"/>
      <c r="E63" s="18" t="n"/>
      <c r="F63" s="18" t="n"/>
      <c r="G63" s="19" t="n"/>
      <c r="H63" s="19" t="n"/>
      <c r="I63" s="19" t="n"/>
      <c r="J63" s="18" t="n"/>
      <c r="K63" s="19" t="n"/>
    </row>
    <row r="64" ht="26" customHeight="1">
      <c r="A64" s="28" t="n"/>
      <c r="B64" s="19" t="n"/>
      <c r="C64" s="19" t="n"/>
      <c r="D64" s="19" t="n"/>
      <c r="E64" s="18" t="n"/>
      <c r="F64" s="18" t="n"/>
      <c r="G64" s="19" t="n"/>
      <c r="H64" s="19" t="n"/>
      <c r="I64" s="19" t="n"/>
      <c r="J64" s="18" t="n"/>
      <c r="K64" s="19" t="n"/>
    </row>
    <row r="65" ht="26" customHeight="1">
      <c r="A65" s="28" t="n"/>
      <c r="B65" s="19" t="n"/>
      <c r="C65" s="19" t="n"/>
      <c r="D65" s="19" t="n"/>
      <c r="E65" s="18" t="n"/>
      <c r="F65" s="18" t="n"/>
      <c r="G65" s="19" t="n"/>
      <c r="H65" s="19" t="n"/>
      <c r="I65" s="19" t="n"/>
      <c r="J65" s="18" t="n"/>
      <c r="K65" s="19" t="n"/>
    </row>
    <row r="66" ht="26" customHeight="1">
      <c r="A66" s="28" t="n"/>
      <c r="B66" s="19" t="n"/>
      <c r="C66" s="19" t="n"/>
      <c r="D66" s="19" t="n"/>
      <c r="E66" s="18" t="n"/>
      <c r="F66" s="18" t="n"/>
      <c r="G66" s="19" t="n"/>
      <c r="H66" s="19" t="n"/>
      <c r="I66" s="19" t="n"/>
      <c r="J66" s="18" t="n"/>
      <c r="K66" s="19" t="n"/>
    </row>
    <row r="67" ht="26" customHeight="1">
      <c r="A67" s="28" t="n"/>
      <c r="B67" s="19" t="n"/>
      <c r="C67" s="19" t="n"/>
      <c r="D67" s="19" t="n"/>
      <c r="E67" s="18" t="n"/>
      <c r="F67" s="18" t="n"/>
      <c r="G67" s="19" t="n"/>
      <c r="H67" s="19" t="n"/>
      <c r="I67" s="19" t="n"/>
      <c r="J67" s="18" t="n"/>
      <c r="K67" s="19" t="n"/>
    </row>
    <row r="68" ht="26" customHeight="1">
      <c r="A68" s="28" t="n"/>
      <c r="B68" s="19" t="n"/>
      <c r="C68" s="19" t="n"/>
      <c r="D68" s="19" t="n"/>
      <c r="E68" s="18" t="n"/>
      <c r="F68" s="18" t="n"/>
      <c r="G68" s="19" t="n"/>
      <c r="H68" s="19" t="n"/>
      <c r="I68" s="19" t="n"/>
      <c r="J68" s="18" t="n"/>
      <c r="K68" s="19" t="n"/>
    </row>
    <row r="69" ht="26" customHeight="1">
      <c r="A69" s="28" t="n"/>
      <c r="B69" s="19" t="n"/>
      <c r="C69" s="19" t="n"/>
      <c r="D69" s="19" t="n"/>
      <c r="E69" s="18" t="n"/>
      <c r="F69" s="18" t="n"/>
      <c r="G69" s="19" t="n"/>
      <c r="H69" s="19" t="n"/>
      <c r="I69" s="19" t="n"/>
      <c r="J69" s="18" t="n"/>
      <c r="K69" s="19" t="n"/>
    </row>
    <row r="70" ht="26" customHeight="1">
      <c r="A70" s="28" t="n"/>
      <c r="B70" s="19" t="n"/>
      <c r="C70" s="19" t="n"/>
      <c r="D70" s="19" t="n"/>
      <c r="E70" s="18" t="n"/>
      <c r="F70" s="18" t="n"/>
      <c r="G70" s="19" t="n"/>
      <c r="H70" s="19" t="n"/>
      <c r="I70" s="19" t="n"/>
      <c r="J70" s="18" t="n"/>
      <c r="K70" s="19" t="n"/>
    </row>
    <row r="71" ht="26" customHeight="1">
      <c r="A71" s="28" t="n"/>
      <c r="B71" s="19" t="n"/>
      <c r="C71" s="19" t="n"/>
      <c r="D71" s="19" t="n"/>
      <c r="E71" s="18" t="n"/>
      <c r="F71" s="18" t="n"/>
      <c r="G71" s="19" t="n"/>
      <c r="H71" s="19" t="n"/>
      <c r="I71" s="19" t="n"/>
      <c r="J71" s="18" t="n"/>
      <c r="K71" s="19" t="n"/>
    </row>
    <row r="72" ht="26" customHeight="1">
      <c r="A72" s="28" t="n"/>
      <c r="B72" s="19" t="n"/>
      <c r="C72" s="19" t="n"/>
      <c r="D72" s="19" t="n"/>
      <c r="E72" s="18" t="n"/>
      <c r="F72" s="18" t="n"/>
      <c r="G72" s="19" t="n"/>
      <c r="H72" s="19" t="n"/>
      <c r="I72" s="19" t="n"/>
      <c r="J72" s="18" t="n"/>
      <c r="K72" s="19" t="n"/>
    </row>
    <row r="73" ht="26" customHeight="1">
      <c r="A73" s="28" t="n"/>
      <c r="B73" s="19" t="n"/>
      <c r="C73" s="19" t="n"/>
      <c r="D73" s="19" t="n"/>
      <c r="E73" s="18" t="n"/>
      <c r="F73" s="18" t="n"/>
      <c r="G73" s="19" t="n"/>
      <c r="H73" s="19" t="n"/>
      <c r="I73" s="19" t="n"/>
      <c r="J73" s="18" t="n"/>
      <c r="K73" s="19" t="n"/>
    </row>
    <row r="74" ht="26" customHeight="1">
      <c r="A74" s="28" t="n"/>
      <c r="B74" s="19" t="n"/>
      <c r="C74" s="19" t="n"/>
      <c r="D74" s="19" t="n"/>
      <c r="E74" s="18" t="n"/>
      <c r="F74" s="18" t="n"/>
      <c r="G74" s="19" t="n"/>
      <c r="H74" s="19" t="n"/>
      <c r="I74" s="19" t="n"/>
      <c r="J74" s="18" t="n"/>
      <c r="K74" s="19" t="n"/>
    </row>
    <row r="75" ht="26" customHeight="1">
      <c r="A75" s="28" t="n"/>
      <c r="B75" s="19" t="n"/>
      <c r="C75" s="19" t="n"/>
      <c r="D75" s="19" t="n"/>
      <c r="E75" s="18" t="n"/>
      <c r="F75" s="18" t="n"/>
      <c r="G75" s="19" t="n"/>
      <c r="H75" s="19" t="n"/>
      <c r="I75" s="19" t="n"/>
      <c r="J75" s="18" t="n"/>
      <c r="K75" s="19" t="n"/>
    </row>
    <row r="76" ht="26" customHeight="1">
      <c r="A76" s="28" t="n"/>
      <c r="B76" s="19" t="n"/>
      <c r="C76" s="19" t="n"/>
      <c r="D76" s="19" t="n"/>
      <c r="E76" s="18" t="n"/>
      <c r="F76" s="18" t="n"/>
      <c r="G76" s="19" t="n"/>
      <c r="H76" s="19" t="n"/>
      <c r="I76" s="19" t="n"/>
      <c r="J76" s="18" t="n"/>
      <c r="K76" s="19" t="n"/>
    </row>
    <row r="77" ht="26" customHeight="1">
      <c r="A77" s="28" t="n"/>
      <c r="B77" s="19" t="n"/>
      <c r="C77" s="19" t="n"/>
      <c r="D77" s="19" t="n"/>
      <c r="E77" s="18" t="n"/>
      <c r="F77" s="18" t="n"/>
      <c r="G77" s="19" t="n"/>
      <c r="H77" s="19" t="n"/>
      <c r="I77" s="19" t="n"/>
      <c r="J77" s="18" t="n"/>
      <c r="K77" s="19" t="n"/>
    </row>
    <row r="78" ht="26" customHeight="1">
      <c r="A78" s="28" t="n"/>
      <c r="B78" s="19" t="n"/>
      <c r="C78" s="19" t="n"/>
      <c r="D78" s="19" t="n"/>
      <c r="E78" s="18" t="n"/>
      <c r="F78" s="18" t="n"/>
      <c r="G78" s="19" t="n"/>
      <c r="H78" s="19" t="n"/>
      <c r="I78" s="19" t="n"/>
      <c r="J78" s="18" t="n"/>
      <c r="K78" s="19" t="n"/>
    </row>
    <row r="79" ht="26" customHeight="1">
      <c r="A79" s="28" t="n"/>
      <c r="B79" s="19" t="n"/>
      <c r="C79" s="19" t="n"/>
      <c r="D79" s="19" t="n"/>
      <c r="E79" s="18" t="n"/>
      <c r="F79" s="18" t="n"/>
      <c r="G79" s="19" t="n"/>
      <c r="H79" s="19" t="n"/>
      <c r="I79" s="19" t="n"/>
      <c r="J79" s="18" t="n"/>
      <c r="K79" s="19" t="n"/>
    </row>
    <row r="80" ht="26" customHeight="1">
      <c r="A80" s="28" t="n"/>
      <c r="B80" s="19" t="n"/>
      <c r="C80" s="19" t="n"/>
      <c r="D80" s="19" t="n"/>
      <c r="E80" s="18" t="n"/>
      <c r="F80" s="18" t="n"/>
      <c r="G80" s="19" t="n"/>
      <c r="H80" s="19" t="n"/>
      <c r="I80" s="19" t="n"/>
      <c r="J80" s="18" t="n"/>
      <c r="K80" s="19" t="n"/>
    </row>
    <row r="81" ht="26" customHeight="1">
      <c r="A81" s="28" t="n"/>
      <c r="B81" s="19" t="n"/>
      <c r="C81" s="19" t="n"/>
      <c r="D81" s="19" t="n"/>
      <c r="E81" s="18" t="n"/>
      <c r="F81" s="18" t="n"/>
      <c r="G81" s="19" t="n"/>
      <c r="H81" s="19" t="n"/>
      <c r="I81" s="19" t="n"/>
      <c r="J81" s="18" t="n"/>
      <c r="K81" s="19" t="n"/>
    </row>
    <row r="82" ht="26" customHeight="1">
      <c r="A82" s="28" t="n"/>
      <c r="B82" s="19" t="n"/>
      <c r="C82" s="19" t="n"/>
      <c r="D82" s="19" t="n"/>
      <c r="E82" s="18" t="n"/>
      <c r="F82" s="18" t="n"/>
      <c r="G82" s="19" t="n"/>
      <c r="H82" s="19" t="n"/>
      <c r="I82" s="19" t="n"/>
      <c r="J82" s="18" t="n"/>
      <c r="K82" s="19" t="n"/>
    </row>
    <row r="83" ht="26" customHeight="1">
      <c r="A83" s="28" t="n"/>
      <c r="B83" s="19" t="n"/>
      <c r="C83" s="19" t="n"/>
      <c r="D83" s="19" t="n"/>
      <c r="E83" s="18" t="n"/>
      <c r="F83" s="18" t="n"/>
      <c r="G83" s="19" t="n"/>
      <c r="H83" s="19" t="n"/>
      <c r="I83" s="19" t="n"/>
      <c r="J83" s="18" t="n"/>
      <c r="K83" s="19" t="n"/>
    </row>
    <row r="84" ht="26" customHeight="1">
      <c r="A84" s="28" t="n"/>
      <c r="B84" s="19" t="n"/>
      <c r="C84" s="19" t="n"/>
      <c r="D84" s="19" t="n"/>
      <c r="E84" s="18" t="n"/>
      <c r="F84" s="18" t="n"/>
      <c r="G84" s="19" t="n"/>
      <c r="H84" s="19" t="n"/>
      <c r="I84" s="19" t="n"/>
      <c r="J84" s="18" t="n"/>
      <c r="K84" s="19" t="n"/>
    </row>
    <row r="85" ht="26" customHeight="1">
      <c r="A85" s="28" t="n"/>
      <c r="B85" s="19" t="n"/>
      <c r="C85" s="19" t="n"/>
      <c r="D85" s="19" t="n"/>
      <c r="E85" s="18" t="n"/>
      <c r="F85" s="18" t="n"/>
      <c r="G85" s="19" t="n"/>
      <c r="H85" s="19" t="n"/>
      <c r="I85" s="19" t="n"/>
      <c r="J85" s="18" t="n"/>
      <c r="K85" s="19" t="n"/>
    </row>
    <row r="86" ht="26" customHeight="1">
      <c r="A86" s="28" t="n"/>
      <c r="B86" s="19" t="n"/>
      <c r="C86" s="19" t="n"/>
      <c r="D86" s="19" t="n"/>
      <c r="E86" s="18" t="n"/>
      <c r="F86" s="18" t="n"/>
      <c r="G86" s="19" t="n"/>
      <c r="H86" s="19" t="n"/>
      <c r="I86" s="19" t="n"/>
      <c r="J86" s="18" t="n"/>
      <c r="K86" s="19" t="n"/>
    </row>
    <row r="87" ht="26" customHeight="1">
      <c r="A87" s="28" t="n"/>
      <c r="B87" s="19" t="n"/>
      <c r="C87" s="19" t="n"/>
      <c r="D87" s="19" t="n"/>
      <c r="E87" s="18" t="n"/>
      <c r="F87" s="18" t="n"/>
      <c r="G87" s="19" t="n"/>
      <c r="H87" s="19" t="n"/>
      <c r="I87" s="19" t="n"/>
      <c r="J87" s="18" t="n"/>
      <c r="K87" s="19" t="n"/>
    </row>
    <row r="88" ht="26" customHeight="1">
      <c r="A88" s="28" t="n"/>
      <c r="B88" s="19" t="n"/>
      <c r="C88" s="19" t="n"/>
      <c r="D88" s="19" t="n"/>
      <c r="E88" s="18" t="n"/>
      <c r="F88" s="18" t="n"/>
      <c r="G88" s="19" t="n"/>
      <c r="H88" s="19" t="n"/>
      <c r="I88" s="19" t="n"/>
      <c r="J88" s="18" t="n"/>
      <c r="K88" s="19" t="n"/>
    </row>
    <row r="89" ht="26" customHeight="1">
      <c r="A89" s="28" t="n"/>
      <c r="B89" s="19" t="n"/>
      <c r="C89" s="19" t="n"/>
      <c r="D89" s="19" t="n"/>
      <c r="E89" s="18" t="n"/>
      <c r="F89" s="18" t="n"/>
      <c r="G89" s="19" t="n"/>
      <c r="H89" s="19" t="n"/>
      <c r="I89" s="19" t="n"/>
      <c r="J89" s="18" t="n"/>
      <c r="K89" s="19" t="n"/>
    </row>
    <row r="90" ht="26" customHeight="1">
      <c r="A90" s="28" t="n"/>
      <c r="B90" s="19" t="n"/>
      <c r="C90" s="19" t="n"/>
      <c r="D90" s="19" t="n"/>
      <c r="E90" s="18" t="n"/>
      <c r="F90" s="18" t="n"/>
      <c r="G90" s="19" t="n"/>
      <c r="H90" s="19" t="n"/>
      <c r="I90" s="19" t="n"/>
      <c r="J90" s="18" t="n"/>
      <c r="K90" s="19" t="n"/>
    </row>
    <row r="91" ht="26" customHeight="1">
      <c r="A91" s="28" t="n"/>
      <c r="B91" s="19" t="n"/>
      <c r="C91" s="19" t="n"/>
      <c r="D91" s="19" t="n"/>
      <c r="E91" s="18" t="n"/>
      <c r="F91" s="18" t="n"/>
      <c r="G91" s="19" t="n"/>
      <c r="H91" s="19" t="n"/>
      <c r="I91" s="19" t="n"/>
      <c r="J91" s="18" t="n"/>
      <c r="K91" s="19" t="n"/>
    </row>
    <row r="92" ht="26" customHeight="1">
      <c r="A92" s="28" t="n"/>
      <c r="B92" s="19" t="n"/>
      <c r="C92" s="19" t="n"/>
      <c r="D92" s="19" t="n"/>
      <c r="E92" s="18" t="n"/>
      <c r="F92" s="18" t="n"/>
      <c r="G92" s="19" t="n"/>
      <c r="H92" s="19" t="n"/>
      <c r="I92" s="19" t="n"/>
      <c r="J92" s="18" t="n"/>
      <c r="K92" s="19" t="n"/>
    </row>
    <row r="93" ht="26" customHeight="1">
      <c r="A93" s="28" t="n"/>
      <c r="B93" s="19" t="n"/>
      <c r="C93" s="19" t="n"/>
      <c r="D93" s="19" t="n"/>
      <c r="E93" s="18" t="n"/>
      <c r="F93" s="18" t="n"/>
      <c r="G93" s="19" t="n"/>
      <c r="H93" s="19" t="n"/>
      <c r="I93" s="19" t="n"/>
      <c r="J93" s="18" t="n"/>
      <c r="K93" s="19" t="n"/>
    </row>
    <row r="94" ht="26" customHeight="1">
      <c r="A94" s="28" t="n"/>
      <c r="B94" s="19" t="n"/>
      <c r="C94" s="19" t="n"/>
      <c r="D94" s="19" t="n"/>
      <c r="E94" s="18" t="n"/>
      <c r="F94" s="18" t="n"/>
      <c r="G94" s="19" t="n"/>
      <c r="H94" s="19" t="n"/>
      <c r="I94" s="19" t="n"/>
      <c r="J94" s="18" t="n"/>
      <c r="K94" s="19" t="n"/>
    </row>
    <row r="95" ht="26" customHeight="1">
      <c r="A95" s="28" t="n"/>
      <c r="B95" s="19" t="n"/>
      <c r="C95" s="19" t="n"/>
      <c r="D95" s="19" t="n"/>
      <c r="E95" s="18" t="n"/>
      <c r="F95" s="18" t="n"/>
      <c r="G95" s="19" t="n"/>
      <c r="H95" s="19" t="n"/>
      <c r="I95" s="19" t="n"/>
      <c r="J95" s="18" t="n"/>
      <c r="K95" s="19" t="n"/>
    </row>
    <row r="96" ht="26" customHeight="1">
      <c r="A96" s="28" t="n"/>
      <c r="B96" s="19" t="n"/>
      <c r="C96" s="19" t="n"/>
      <c r="D96" s="19" t="n"/>
      <c r="E96" s="18" t="n"/>
      <c r="F96" s="18" t="n"/>
      <c r="G96" s="19" t="n"/>
      <c r="H96" s="19" t="n"/>
      <c r="I96" s="19" t="n"/>
      <c r="J96" s="18" t="n"/>
      <c r="K96" s="19" t="n"/>
    </row>
    <row r="97" ht="26" customHeight="1">
      <c r="A97" s="28" t="n"/>
      <c r="B97" s="19" t="n"/>
      <c r="C97" s="19" t="n"/>
      <c r="D97" s="19" t="n"/>
      <c r="E97" s="18" t="n"/>
      <c r="F97" s="18" t="n"/>
      <c r="G97" s="19" t="n"/>
      <c r="H97" s="19" t="n"/>
      <c r="I97" s="19" t="n"/>
      <c r="J97" s="18" t="n"/>
      <c r="K97" s="19" t="n"/>
    </row>
    <row r="98" ht="26" customHeight="1">
      <c r="A98" s="28" t="n"/>
      <c r="B98" s="19" t="n"/>
      <c r="C98" s="19" t="n"/>
      <c r="D98" s="19" t="n"/>
      <c r="E98" s="18" t="n"/>
      <c r="F98" s="18" t="n"/>
      <c r="G98" s="19" t="n"/>
      <c r="H98" s="19" t="n"/>
      <c r="I98" s="19" t="n"/>
      <c r="J98" s="18" t="n"/>
      <c r="K98" s="19" t="n"/>
    </row>
    <row r="99" ht="26" customHeight="1">
      <c r="A99" s="28" t="n"/>
      <c r="B99" s="19" t="n"/>
      <c r="C99" s="19" t="n"/>
      <c r="D99" s="19" t="n"/>
      <c r="E99" s="18" t="n"/>
      <c r="F99" s="18" t="n"/>
      <c r="G99" s="19" t="n"/>
      <c r="H99" s="19" t="n"/>
      <c r="I99" s="19" t="n"/>
      <c r="J99" s="18" t="n"/>
      <c r="K99" s="19" t="n"/>
    </row>
    <row r="100" ht="26" customHeight="1">
      <c r="A100" s="28" t="n"/>
      <c r="B100" s="19" t="n"/>
      <c r="C100" s="19" t="n"/>
      <c r="D100" s="19" t="n"/>
      <c r="E100" s="18" t="n"/>
      <c r="F100" s="18" t="n"/>
      <c r="G100" s="19" t="n"/>
      <c r="H100" s="19" t="n"/>
      <c r="I100" s="19" t="n"/>
      <c r="J100" s="18" t="n"/>
      <c r="K100" s="19" t="n"/>
    </row>
    <row r="101" ht="26" customHeight="1">
      <c r="A101" s="28" t="n"/>
      <c r="B101" s="19" t="n"/>
      <c r="C101" s="19" t="n"/>
      <c r="D101" s="19" t="n"/>
      <c r="E101" s="18" t="n"/>
      <c r="F101" s="18" t="n"/>
      <c r="G101" s="19" t="n"/>
      <c r="H101" s="19" t="n"/>
      <c r="I101" s="19" t="n"/>
      <c r="J101" s="18" t="n"/>
      <c r="K101" s="19" t="n"/>
    </row>
    <row r="102" ht="26" customHeight="1">
      <c r="A102" s="28" t="n"/>
      <c r="B102" s="19" t="n"/>
      <c r="C102" s="19" t="n"/>
      <c r="D102" s="19" t="n"/>
      <c r="E102" s="18" t="n"/>
      <c r="F102" s="18" t="n"/>
      <c r="G102" s="19" t="n"/>
      <c r="H102" s="19" t="n"/>
      <c r="I102" s="19" t="n"/>
      <c r="J102" s="18" t="n"/>
      <c r="K102" s="19" t="n"/>
    </row>
    <row r="103" ht="26" customHeight="1">
      <c r="A103" s="28" t="n"/>
      <c r="B103" s="19" t="n"/>
      <c r="C103" s="19" t="n"/>
      <c r="D103" s="19" t="n"/>
      <c r="E103" s="18" t="n"/>
      <c r="F103" s="18" t="n"/>
      <c r="G103" s="19" t="n"/>
      <c r="H103" s="19" t="n"/>
      <c r="I103" s="19" t="n"/>
      <c r="J103" s="18" t="n"/>
      <c r="K103" s="19" t="n"/>
    </row>
  </sheetData>
  <autoFilter ref="A3:K103"/>
  <mergeCells count="2">
    <mergeCell ref="A2:K2"/>
    <mergeCell ref="A1:K1"/>
  </mergeCells>
  <conditionalFormatting sqref="E4:E103">
    <cfRule type="cellIs" priority="1" operator="equal" dxfId="1">
      <formula>"Critical"</formula>
    </cfRule>
    <cfRule type="cellIs" priority="2" operator="equal" dxfId="2">
      <formula>"High"</formula>
    </cfRule>
  </conditionalFormatting>
  <dataValidations count="3">
    <dataValidation sqref="E4:E103" showDropDown="0" showInputMessage="0" showErrorMessage="0" allowBlank="1" type="list">
      <formula1>"Critical,High,Medium,Low"</formula1>
    </dataValidation>
    <dataValidation sqref="F4:F103" showDropDown="0" showInputMessage="0" showErrorMessage="0" allowBlank="1" type="list">
      <formula1>"P1,P2,P3"</formula1>
    </dataValidation>
    <dataValidation sqref="J4:J103" showDropDown="0" showInputMessage="0" showErrorMessage="0" allowBlank="1" type="list">
      <formula1>"Open,In progress,Fixed,Verified,Won't fix,Duplicate"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F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46" customWidth="1" min="3" max="3"/>
    <col width="46" customWidth="1" min="4" max="4"/>
    <col width="11" customWidth="1" min="5" max="5"/>
    <col width="34" customWidth="1" min="6" max="6"/>
  </cols>
  <sheetData>
    <row r="1">
      <c r="A1" s="1" t="inlineStr">
        <is>
          <t>Post-Deploy Regression Checklist</t>
        </is>
      </c>
    </row>
    <row r="2">
      <c r="A2" s="2" t="inlineStr">
        <is>
          <t>Run after every deploy. About 30 minutes. Everything here is read-only and safe on production.</t>
        </is>
      </c>
    </row>
    <row r="3" ht="28" customHeight="1">
      <c r="A3" s="15" t="inlineStr">
        <is>
          <t>#</t>
        </is>
      </c>
      <c r="B3" s="15" t="inlineStr">
        <is>
          <t>Section</t>
        </is>
      </c>
      <c r="C3" s="15" t="inlineStr">
        <is>
          <t>Check</t>
        </is>
      </c>
      <c r="D3" s="15" t="inlineStr">
        <is>
          <t>Expected</t>
        </is>
      </c>
      <c r="E3" s="15" t="inlineStr">
        <is>
          <t>Result</t>
        </is>
      </c>
      <c r="F3" s="15" t="inlineStr">
        <is>
          <t>Notes</t>
        </is>
      </c>
    </row>
    <row r="4" ht="26" customHeight="1">
      <c r="A4" s="29" t="inlineStr">
        <is>
          <t>A1</t>
        </is>
      </c>
      <c r="B4" s="6" t="inlineStr">
        <is>
          <t>A. Deploy landed</t>
        </is>
      </c>
      <c r="C4" s="6" t="inlineStr">
        <is>
          <t>Backup exists and is not empty (ls -lh ~/medbill-*.dump)</t>
        </is>
      </c>
      <c r="D4" s="6" t="inlineStr">
        <is>
          <t>Size in MB. A 0-byte file is not a backup.</t>
        </is>
      </c>
      <c r="E4" s="18" t="n"/>
      <c r="F4" s="19" t="n"/>
    </row>
    <row r="5" ht="26" customHeight="1">
      <c r="A5" s="30" t="inlineStr">
        <is>
          <t>A2</t>
        </is>
      </c>
      <c r="B5" s="21" t="inlineStr">
        <is>
          <t>A. Deploy landed</t>
        </is>
      </c>
      <c r="C5" s="21" t="inlineStr">
        <is>
          <t>The commit moved (git log --oneline -1)</t>
        </is>
      </c>
      <c r="D5" s="21" t="inlineStr">
        <is>
          <t>The SHA you intended to deploy</t>
        </is>
      </c>
      <c r="E5" s="18" t="n"/>
      <c r="F5" s="19" t="n"/>
    </row>
    <row r="6" ht="26" customHeight="1">
      <c r="A6" s="29" t="inlineStr">
        <is>
          <t>A3</t>
        </is>
      </c>
      <c r="B6" s="6" t="inlineStr">
        <is>
          <t>A. Deploy landed</t>
        </is>
      </c>
      <c r="C6" s="6" t="inlineStr">
        <is>
          <t>Containers are up (docker ps)</t>
        </is>
      </c>
      <c r="D6" s="6" t="inlineStr">
        <is>
          <t>db, api and web all running</t>
        </is>
      </c>
      <c r="E6" s="18" t="n"/>
      <c r="F6" s="19" t="n"/>
    </row>
    <row r="7" ht="26" customHeight="1">
      <c r="A7" s="30" t="inlineStr">
        <is>
          <t>A4</t>
        </is>
      </c>
      <c r="B7" s="21" t="inlineStr">
        <is>
          <t>A. Deploy landed</t>
        </is>
      </c>
      <c r="C7" s="21" t="inlineStr">
        <is>
          <t>The bundle is new (npm run test:smoke)</t>
        </is>
      </c>
      <c r="D7" s="21" t="inlineStr">
        <is>
          <t>7 passed, including the stale-bundle check</t>
        </is>
      </c>
      <c r="E7" s="18" t="n"/>
      <c r="F7" s="19" t="n"/>
    </row>
    <row r="8" ht="26" customHeight="1">
      <c r="A8" s="29" t="inlineStr">
        <is>
          <t>B1</t>
        </is>
      </c>
      <c r="B8" s="6" t="inlineStr">
        <is>
          <t>B. No data loss</t>
        </is>
      </c>
      <c r="C8" s="6" t="inlineStr">
        <is>
          <t>Row counts unchanged vs before the deploy</t>
        </is>
      </c>
      <c r="D8" s="6" t="inlineStr">
        <is>
          <t>diff of before/after counts is empty</t>
        </is>
      </c>
      <c r="E8" s="18" t="n"/>
      <c r="F8" s="19" t="n"/>
    </row>
    <row r="9" ht="26" customHeight="1">
      <c r="A9" s="30" t="inlineStr">
        <is>
          <t>B2</t>
        </is>
      </c>
      <c r="B9" s="21" t="inlineStr">
        <is>
          <t>B. No data loss</t>
        </is>
      </c>
      <c r="C9" s="21" t="inlineStr">
        <is>
          <t>Password hashes unchanged</t>
        </is>
      </c>
      <c r="D9" s="21" t="inlineStr">
        <is>
          <t>diff of before/after user hashes is empty</t>
        </is>
      </c>
      <c r="E9" s="18" t="n"/>
      <c r="F9" s="19" t="n"/>
    </row>
    <row r="10" ht="26" customHeight="1">
      <c r="A10" s="29" t="inlineStr">
        <is>
          <t>B3</t>
        </is>
      </c>
      <c r="B10" s="6" t="inlineStr">
        <is>
          <t>B. No data loss</t>
        </is>
      </c>
      <c r="C10" s="6" t="inlineStr">
        <is>
          <t>MFA enrolments intact</t>
        </is>
      </c>
      <c r="D10" s="6" t="inlineStr">
        <is>
          <t>user_mfa count unchanged</t>
        </is>
      </c>
      <c r="E10" s="18" t="n"/>
      <c r="F10" s="19" t="n"/>
    </row>
    <row r="11" ht="26" customHeight="1">
      <c r="A11" s="30" t="inlineStr">
        <is>
          <t>B4</t>
        </is>
      </c>
      <c r="B11" s="21" t="inlineStr">
        <is>
          <t>B. No data loss</t>
        </is>
      </c>
      <c r="C11" s="21" t="inlineStr">
        <is>
          <t>Trusted devices intact</t>
        </is>
      </c>
      <c r="D11" s="21" t="inlineStr">
        <is>
          <t>trusted_devices count unchanged</t>
        </is>
      </c>
      <c r="E11" s="18" t="n"/>
      <c r="F11" s="19" t="n"/>
    </row>
    <row r="12" ht="26" customHeight="1">
      <c r="A12" s="29" t="inlineStr">
        <is>
          <t>B5</t>
        </is>
      </c>
      <c r="B12" s="6" t="inlineStr">
        <is>
          <t>B. No data loss</t>
        </is>
      </c>
      <c r="C12" s="6" t="inlineStr">
        <is>
          <t>The release's new tables exist</t>
        </is>
      </c>
      <c r="D12" s="6" t="inlineStr">
        <is>
          <t>Present in the database</t>
        </is>
      </c>
      <c r="E12" s="18" t="n"/>
      <c r="F12" s="19" t="n"/>
    </row>
    <row r="13" ht="26" customHeight="1">
      <c r="A13" s="30" t="inlineStr">
        <is>
          <t>C1</t>
        </is>
      </c>
      <c r="B13" s="21" t="inlineStr">
        <is>
          <t>C. Authentication</t>
        </is>
      </c>
      <c r="C13" s="21" t="inlineStr">
        <is>
          <t>Sign in with a valid account</t>
        </is>
      </c>
      <c r="D13" s="21" t="inlineStr">
        <is>
          <t>Reaches the application</t>
        </is>
      </c>
      <c r="E13" s="18" t="n"/>
      <c r="F13" s="19" t="n"/>
    </row>
    <row r="14" ht="26" customHeight="1">
      <c r="A14" s="29" t="inlineStr">
        <is>
          <t>C2</t>
        </is>
      </c>
      <c r="B14" s="6" t="inlineStr">
        <is>
          <t>C. Authentication</t>
        </is>
      </c>
      <c r="C14" s="6" t="inlineStr">
        <is>
          <t>Wrong password</t>
        </is>
      </c>
      <c r="D14" s="6" t="inlineStr">
        <is>
          <t>Refused, generic message, no stack trace</t>
        </is>
      </c>
      <c r="E14" s="18" t="n"/>
      <c r="F14" s="19" t="n"/>
    </row>
    <row r="15" ht="26" customHeight="1">
      <c r="A15" s="30" t="inlineStr">
        <is>
          <t>C3</t>
        </is>
      </c>
      <c r="B15" s="21" t="inlineStr">
        <is>
          <t>C. Authentication</t>
        </is>
      </c>
      <c r="C15" s="21" t="inlineStr">
        <is>
          <t>MFA behaves as configured</t>
        </is>
      </c>
      <c r="D15" s="21" t="inlineStr">
        <is>
          <t>Matches the intended MFA_ENFORCEMENT</t>
        </is>
      </c>
      <c r="E15" s="18" t="n"/>
      <c r="F15" s="19" t="n"/>
    </row>
    <row r="16" ht="26" customHeight="1">
      <c r="A16" s="29" t="inlineStr">
        <is>
          <t>C4</t>
        </is>
      </c>
      <c r="B16" s="6" t="inlineStr">
        <is>
          <t>C. Authentication</t>
        </is>
      </c>
      <c r="C16" s="6" t="inlineStr">
        <is>
          <t>Sign out</t>
        </is>
      </c>
      <c r="D16" s="6" t="inlineStr">
        <is>
          <t>Returns to sign-in; Back does not re-enter</t>
        </is>
      </c>
      <c r="E16" s="18" t="n"/>
      <c r="F16" s="19" t="n"/>
    </row>
    <row r="17" ht="26" customHeight="1">
      <c r="A17" s="30" t="inlineStr">
        <is>
          <t>C5</t>
        </is>
      </c>
      <c r="B17" s="21" t="inlineStr">
        <is>
          <t>C. Authentication</t>
        </is>
      </c>
      <c r="C17" s="21" t="inlineStr">
        <is>
          <t>/api/auth/me while signed out</t>
        </is>
      </c>
      <c r="D17" s="21" t="inlineStr">
        <is>
          <t>401</t>
        </is>
      </c>
      <c r="E17" s="18" t="n"/>
      <c r="F17" s="19" t="n"/>
    </row>
    <row r="18" ht="26" customHeight="1">
      <c r="A18" s="29" t="inlineStr">
        <is>
          <t>D1</t>
        </is>
      </c>
      <c r="B18" s="6" t="inlineStr">
        <is>
          <t>D. Every tab renders</t>
        </is>
      </c>
      <c r="C18" s="6" t="inlineStr">
        <is>
          <t>Dashboard</t>
        </is>
      </c>
      <c r="D18" s="6" t="inlineStr">
        <is>
          <t>Renders, no console error</t>
        </is>
      </c>
      <c r="E18" s="18" t="n"/>
      <c r="F18" s="19" t="n"/>
    </row>
    <row r="19" ht="26" customHeight="1">
      <c r="A19" s="30" t="inlineStr">
        <is>
          <t>D2</t>
        </is>
      </c>
      <c r="B19" s="21" t="inlineStr">
        <is>
          <t>D. Every tab renders</t>
        </is>
      </c>
      <c r="C19" s="21" t="inlineStr">
        <is>
          <t>Schedule</t>
        </is>
      </c>
      <c r="D19" s="21" t="inlineStr">
        <is>
          <t>Renders, no console error</t>
        </is>
      </c>
      <c r="E19" s="18" t="n"/>
      <c r="F19" s="19" t="n"/>
    </row>
    <row r="20" ht="26" customHeight="1">
      <c r="A20" s="29" t="inlineStr">
        <is>
          <t>D3</t>
        </is>
      </c>
      <c r="B20" s="6" t="inlineStr">
        <is>
          <t>D. Every tab renders</t>
        </is>
      </c>
      <c r="C20" s="6" t="inlineStr">
        <is>
          <t>Patients</t>
        </is>
      </c>
      <c r="D20" s="6" t="inlineStr">
        <is>
          <t>Renders, no console error</t>
        </is>
      </c>
      <c r="E20" s="18" t="n"/>
      <c r="F20" s="19" t="n"/>
    </row>
    <row r="21" ht="26" customHeight="1">
      <c r="A21" s="30" t="inlineStr">
        <is>
          <t>D4</t>
        </is>
      </c>
      <c r="B21" s="21" t="inlineStr">
        <is>
          <t>D. Every tab renders</t>
        </is>
      </c>
      <c r="C21" s="21" t="inlineStr">
        <is>
          <t>Clinical</t>
        </is>
      </c>
      <c r="D21" s="21" t="inlineStr">
        <is>
          <t>Renders, no console error</t>
        </is>
      </c>
      <c r="E21" s="18" t="n"/>
      <c r="F21" s="19" t="n"/>
    </row>
    <row r="22" ht="26" customHeight="1">
      <c r="A22" s="29" t="inlineStr">
        <is>
          <t>D5</t>
        </is>
      </c>
      <c r="B22" s="6" t="inlineStr">
        <is>
          <t>D. Every tab renders</t>
        </is>
      </c>
      <c r="C22" s="6" t="inlineStr">
        <is>
          <t>Billing</t>
        </is>
      </c>
      <c r="D22" s="6" t="inlineStr">
        <is>
          <t>Renders, no console error</t>
        </is>
      </c>
      <c r="E22" s="18" t="n"/>
      <c r="F22" s="19" t="n"/>
    </row>
    <row r="23" ht="26" customHeight="1">
      <c r="A23" s="30" t="inlineStr">
        <is>
          <t>D6</t>
        </is>
      </c>
      <c r="B23" s="21" t="inlineStr">
        <is>
          <t>D. Every tab renders</t>
        </is>
      </c>
      <c r="C23" s="21" t="inlineStr">
        <is>
          <t>Claims</t>
        </is>
      </c>
      <c r="D23" s="21" t="inlineStr">
        <is>
          <t>Renders, no console error</t>
        </is>
      </c>
      <c r="E23" s="18" t="n"/>
      <c r="F23" s="19" t="n"/>
    </row>
    <row r="24" ht="26" customHeight="1">
      <c r="A24" s="29" t="inlineStr">
        <is>
          <t>D7</t>
        </is>
      </c>
      <c r="B24" s="6" t="inlineStr">
        <is>
          <t>D. Every tab renders</t>
        </is>
      </c>
      <c r="C24" s="6" t="inlineStr">
        <is>
          <t>Reports</t>
        </is>
      </c>
      <c r="D24" s="6" t="inlineStr">
        <is>
          <t>Renders, no console error</t>
        </is>
      </c>
      <c r="E24" s="18" t="n"/>
      <c r="F24" s="19" t="n"/>
    </row>
    <row r="25" ht="26" customHeight="1">
      <c r="A25" s="30" t="inlineStr">
        <is>
          <t>D8</t>
        </is>
      </c>
      <c r="B25" s="21" t="inlineStr">
        <is>
          <t>D. Every tab renders</t>
        </is>
      </c>
      <c r="C25" s="21" t="inlineStr">
        <is>
          <t>Medical Record (if granted)</t>
        </is>
      </c>
      <c r="D25" s="21" t="inlineStr">
        <is>
          <t>Renders, no console error</t>
        </is>
      </c>
      <c r="E25" s="18" t="n"/>
      <c r="F25" s="19" t="n"/>
    </row>
    <row r="26" ht="26" customHeight="1">
      <c r="A26" s="29" t="inlineStr">
        <is>
          <t>E1</t>
        </is>
      </c>
      <c r="B26" s="6" t="inlineStr">
        <is>
          <t>E. Money is right</t>
        </is>
      </c>
      <c r="C26" s="6" t="inlineStr">
        <is>
          <t>Patient ledger renders</t>
        </is>
      </c>
      <c r="D26" s="6" t="inlineStr">
        <is>
          <t>DOS, CPT, Charge, Adjusted, Balance present</t>
        </is>
      </c>
      <c r="E26" s="18" t="n"/>
      <c r="F26" s="19" t="n"/>
    </row>
    <row r="27" ht="26" customHeight="1">
      <c r="A27" s="30" t="inlineStr">
        <is>
          <t>E2</t>
        </is>
      </c>
      <c r="B27" s="21" t="inlineStr">
        <is>
          <t>E. Money is right</t>
        </is>
      </c>
      <c r="C27" s="21" t="inlineStr">
        <is>
          <t>Balance arithmetic</t>
        </is>
      </c>
      <c r="D27" s="21" t="inlineStr">
        <is>
          <t>charge - paid - write-off - credits</t>
        </is>
      </c>
      <c r="E27" s="18" t="n"/>
      <c r="F27" s="19" t="n"/>
    </row>
    <row r="28" ht="26" customHeight="1">
      <c r="A28" s="29" t="inlineStr">
        <is>
          <t>E3</t>
        </is>
      </c>
      <c r="B28" s="6" t="inlineStr">
        <is>
          <t>E. Money is right</t>
        </is>
      </c>
      <c r="C28" s="6" t="inlineStr">
        <is>
          <t>Claim total equals the sum of its lines</t>
        </is>
      </c>
      <c r="D28" s="6" t="inlineStr">
        <is>
          <t>Exactly equal</t>
        </is>
      </c>
      <c r="E28" s="18" t="n"/>
      <c r="F28" s="19" t="n"/>
    </row>
    <row r="29" ht="26" customHeight="1">
      <c r="A29" s="30" t="inlineStr">
        <is>
          <t>E4</t>
        </is>
      </c>
      <c r="B29" s="21" t="inlineStr">
        <is>
          <t>E. Money is right</t>
        </is>
      </c>
      <c r="C29" s="21" t="inlineStr">
        <is>
          <t>A report reconciles with the ledger</t>
        </is>
      </c>
      <c r="D29" s="21" t="inlineStr">
        <is>
          <t>Totals agree</t>
        </is>
      </c>
      <c r="E29" s="18" t="n"/>
      <c r="F29" s="19" t="n"/>
    </row>
    <row r="30" ht="26" customHeight="1">
      <c r="A30" s="29" t="inlineStr">
        <is>
          <t>E5</t>
        </is>
      </c>
      <c r="B30" s="6" t="inlineStr">
        <is>
          <t>E. Money is right</t>
        </is>
      </c>
      <c r="C30" s="6" t="inlineStr">
        <is>
          <t>No negative or NaN amounts</t>
        </is>
      </c>
      <c r="D30" s="6" t="inlineStr">
        <is>
          <t>None anywhere</t>
        </is>
      </c>
      <c r="E30" s="18" t="n"/>
      <c r="F30" s="19" t="n"/>
    </row>
    <row r="31" ht="26" customHeight="1">
      <c r="A31" s="30" t="inlineStr">
        <is>
          <t>F1</t>
        </is>
      </c>
      <c r="B31" s="21" t="inlineStr">
        <is>
          <t>F. Authorization</t>
        </is>
      </c>
      <c r="C31" s="21" t="inlineStr">
        <is>
          <t>Protected routes with no credentials</t>
        </is>
      </c>
      <c r="D31" s="21" t="inlineStr">
        <is>
          <t>401</t>
        </is>
      </c>
      <c r="E31" s="18" t="n"/>
      <c r="F31" s="19" t="n"/>
    </row>
    <row r="32" ht="26" customHeight="1">
      <c r="A32" s="29" t="inlineStr">
        <is>
          <t>F2</t>
        </is>
      </c>
      <c r="B32" s="6" t="inlineStr">
        <is>
          <t>F. Authorization</t>
        </is>
      </c>
      <c r="C32" s="6" t="inlineStr">
        <is>
          <t>Protected routes, session without the grant</t>
        </is>
      </c>
      <c r="D32" s="6" t="inlineStr">
        <is>
          <t>403 — do not skip this one</t>
        </is>
      </c>
      <c r="E32" s="18" t="n"/>
      <c r="F32" s="19" t="n"/>
    </row>
    <row r="33" ht="26" customHeight="1">
      <c r="A33" s="30" t="inlineStr">
        <is>
          <t>F3</t>
        </is>
      </c>
      <c r="B33" s="21" t="inlineStr">
        <is>
          <t>F. Authorization</t>
        </is>
      </c>
      <c r="C33" s="21" t="inlineStr">
        <is>
          <t>Collections API while signed out</t>
        </is>
      </c>
      <c r="D33" s="21" t="inlineStr">
        <is>
          <t>401</t>
        </is>
      </c>
      <c r="E33" s="18" t="n"/>
      <c r="F33" s="19" t="n"/>
    </row>
    <row r="34" ht="26" customHeight="1">
      <c r="A34" s="29" t="inlineStr">
        <is>
          <t>G1</t>
        </is>
      </c>
      <c r="B34" s="6" t="inlineStr">
        <is>
          <t>G. Claims &amp; CMS-1500</t>
        </is>
      </c>
      <c r="C34" s="6" t="inlineStr">
        <is>
          <t>Claims list shows Submit and Open claim</t>
        </is>
      </c>
      <c r="D34" s="6" t="inlineStr">
        <is>
          <t>Both present</t>
        </is>
      </c>
      <c r="E34" s="18" t="n"/>
      <c r="F34" s="19" t="n"/>
    </row>
    <row r="35" ht="26" customHeight="1">
      <c r="A35" s="30" t="inlineStr">
        <is>
          <t>G2</t>
        </is>
      </c>
      <c r="B35" s="21" t="inlineStr">
        <is>
          <t>G. Claims &amp; CMS-1500</t>
        </is>
      </c>
      <c r="C35" s="21" t="inlineStr">
        <is>
          <t>Edit Claim from the ledger still works</t>
        </is>
      </c>
      <c r="D35" s="21" t="inlineStr">
        <is>
          <t>Opens and saves</t>
        </is>
      </c>
      <c r="E35" s="18" t="n"/>
      <c r="F35" s="19" t="n"/>
    </row>
    <row r="36" ht="26" customHeight="1">
      <c r="A36" s="29" t="inlineStr">
        <is>
          <t>G3</t>
        </is>
      </c>
      <c r="B36" s="6" t="inlineStr">
        <is>
          <t>G. Claims &amp; CMS-1500</t>
        </is>
      </c>
      <c r="C36" s="6" t="inlineStr">
        <is>
          <t>Workspace opens with all eight sections</t>
        </is>
      </c>
      <c r="D36" s="6" t="inlineStr">
        <is>
          <t>All present</t>
        </is>
      </c>
      <c r="E36" s="18" t="n"/>
      <c r="F36" s="19" t="n"/>
    </row>
    <row r="37" ht="26" customHeight="1">
      <c r="A37" s="30" t="inlineStr">
        <is>
          <t>G4</t>
        </is>
      </c>
      <c r="B37" s="21" t="inlineStr">
        <is>
          <t>G. Claims &amp; CMS-1500</t>
        </is>
      </c>
      <c r="C37" s="21" t="inlineStr">
        <is>
          <t>HCFA preview renders a fixed-size sheet</t>
        </is>
      </c>
      <c r="D37" s="21" t="inlineStr">
        <is>
          <t>8.5 x 11 proportions</t>
        </is>
      </c>
      <c r="E37" s="18" t="n"/>
      <c r="F37" s="19" t="n"/>
    </row>
    <row r="38" ht="26" customHeight="1">
      <c r="A38" s="29" t="inlineStr">
        <is>
          <t>G5</t>
        </is>
      </c>
      <c r="B38" s="6" t="inlineStr">
        <is>
          <t>G. Claims &amp; CMS-1500</t>
        </is>
      </c>
      <c r="C38" s="6" t="inlineStr">
        <is>
          <t>Print menu: summary / preprinted / with form</t>
        </is>
      </c>
      <c r="D38" s="6" t="inlineStr">
        <is>
          <t>Three distinct options</t>
        </is>
      </c>
      <c r="E38" s="18" t="n"/>
      <c r="F38" s="19" t="n"/>
    </row>
    <row r="39" ht="26" customHeight="1">
      <c r="A39" s="30" t="inlineStr">
        <is>
          <t>G6</t>
        </is>
      </c>
      <c r="B39" s="21" t="inlineStr">
        <is>
          <t>G. Claims &amp; CMS-1500</t>
        </is>
      </c>
      <c r="C39" s="21" t="inlineStr">
        <is>
          <t>Electronic claim disabled with a reason</t>
        </is>
      </c>
      <c r="D39" s="21" t="inlineStr">
        <is>
          <t>Disabled, reason shown</t>
        </is>
      </c>
      <c r="E39" s="18" t="n"/>
      <c r="F39" s="19" t="n"/>
    </row>
    <row r="40" ht="26" customHeight="1">
      <c r="A40" s="29" t="inlineStr">
        <is>
          <t>G7</t>
        </is>
      </c>
      <c r="B40" s="6" t="inlineStr">
        <is>
          <t>G. Claims &amp; CMS-1500</t>
        </is>
      </c>
      <c r="C40" s="6" t="inlineStr">
        <is>
          <t>Alignment controls and test page available</t>
        </is>
      </c>
      <c r="D40" s="6" t="inlineStr">
        <is>
          <t>Present</t>
        </is>
      </c>
      <c r="E40" s="18" t="n"/>
      <c r="F40" s="19" t="n"/>
    </row>
    <row r="42">
      <c r="B42" s="31" t="inlineStr">
        <is>
          <t>Checks passed</t>
        </is>
      </c>
      <c r="C42" s="4">
        <f>COUNTIF(E4:E40,"Pass")&amp;" of "&amp;37</f>
        <v/>
      </c>
    </row>
    <row r="43">
      <c r="B43" s="31" t="inlineStr">
        <is>
          <t>Checks failed</t>
        </is>
      </c>
      <c r="C43" s="4">
        <f>COUNTIF(E4:E40,"Fail")</f>
        <v/>
      </c>
    </row>
    <row r="44">
      <c r="B44" s="31" t="inlineStr">
        <is>
          <t>Verdict</t>
        </is>
      </c>
      <c r="C44" s="32">
        <f>IF(COUNTIF(E4:E40,"Fail")&gt;0,"FAIL — sections B, C, E and F are release blockers; consider rolling back",IF(COUNTA(E4:E40)&lt;37,"INCOMPLETE","PASS"))</f>
        <v/>
      </c>
    </row>
  </sheetData>
  <mergeCells count="3">
    <mergeCell ref="A2:F2"/>
    <mergeCell ref="C44:D44"/>
    <mergeCell ref="A1:F1"/>
  </mergeCells>
  <conditionalFormatting sqref="E4:E4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E4:E40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2026-09-26T03:27:14Z</dcterms:created>
  <dcterms:modified xsi:type="dcterms:W3CDTF">2026-09-26T03:27:14Z</dcterms:modified>
</cp:coreProperties>
</file>